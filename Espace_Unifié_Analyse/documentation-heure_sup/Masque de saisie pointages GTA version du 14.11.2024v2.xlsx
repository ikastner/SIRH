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omments1.xml" ContentType="application/vnd.openxmlformats-officedocument.spreadsheetml.comment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Override PartName="/xl/calcChain.xml" ContentType="application/vnd.openxmlformats-officedocument.spreadsheetml.calcChain+xml"/>
  <Override PartName="/xl/persons/person.xml" ContentType="application/vnd.ms-excel.person+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7"/>
  <workbookPr defaultThemeVersion="166925"/>
  <mc:AlternateContent xmlns:mc="http://schemas.openxmlformats.org/markup-compatibility/2006">
    <mc:Choice Requires="x15">
      <x15ac:absPath xmlns:x15ac="http://schemas.microsoft.com/office/spreadsheetml/2010/11/ac" url="https://recouv.sharepoint.com/sites/DirectionGAP-OutilGestionAstreintesHS-HC/Documents partages/Outil Gestion Astreintes HS-HC/Documents de travail/HS/"/>
    </mc:Choice>
  </mc:AlternateContent>
  <xr:revisionPtr revIDLastSave="1" documentId="8_{FFCE2B2E-2010-4054-ABC6-E53B12493EAB}" xr6:coauthVersionLast="47" xr6:coauthVersionMax="47" xr10:uidLastSave="{B47A97B8-A16D-47D2-ABDC-8C8ADFA42B13}"/>
  <bookViews>
    <workbookView xWindow="-120" yWindow="-120" windowWidth="25440" windowHeight="15270" firstSheet="4" activeTab="5" xr2:uid="{00000000-000D-0000-FFFF-FFFF00000000}"/>
  </bookViews>
  <sheets>
    <sheet name="masterpageFooterGrid" sheetId="1" r:id="rId1"/>
    <sheet name="masterpageFooterGrid (2)" sheetId="5" r:id="rId2"/>
    <sheet name="masterpageFooterGrid (3)" sheetId="9" r:id="rId3"/>
    <sheet name="masterpageFooterGrid (4)" sheetId="11" r:id="rId4"/>
    <sheet name="Masque de saisie" sheetId="8" r:id="rId5"/>
    <sheet name="Lexique" sheetId="10" r:id="rId6"/>
    <sheet name="Code gestion" sheetId="6" r:id="rId7"/>
    <sheet name="modèle" sheetId="4" r:id="rId8"/>
  </sheets>
  <externalReferences>
    <externalReference r:id="rId9"/>
    <externalReference r:id="rId10"/>
  </externalReferences>
  <definedNames>
    <definedName name="__bookmark_1" localSheetId="1">'masterpageFooterGrid (2)'!$A$6:$K$21</definedName>
    <definedName name="__bookmark_1" localSheetId="2">'masterpageFooterGrid (3)'!$A$6:$K$81</definedName>
    <definedName name="__bookmark_1" localSheetId="3">'masterpageFooterGrid (4)'!$A$6:$K$61</definedName>
    <definedName name="__bookmark_1">masterpageFooterGrid!$A$6:$K$21</definedName>
    <definedName name="A">#REF!</definedName>
    <definedName name="Agents">#REF!</definedName>
    <definedName name="Assistance">#REF!</definedName>
    <definedName name="Directionsfonctionnelles">#REF!</definedName>
    <definedName name="f_nom">OFFSET(p_nom,0,0,COUNTA(l_nom1),1)</definedName>
    <definedName name="f_nom2">OFFSET(p_nom1,0,0,COUNTA(l_nom2),1)</definedName>
    <definedName name="Férié">#REF!</definedName>
    <definedName name="Fériéexceptionnel">#REF!</definedName>
    <definedName name="Joursemaine">#REF!</definedName>
    <definedName name="l_nom1">[1]Agents!$AE2:$AE9999</definedName>
    <definedName name="l_nom2">[1]Agents!$AE2:$AE999</definedName>
    <definedName name="MaListe1">#REF!</definedName>
    <definedName name="Mois_paye">#REF!</definedName>
    <definedName name="N°agents">#REF!</definedName>
    <definedName name="Nb_points">#REF!</definedName>
    <definedName name="Nbpts11">#REF!</definedName>
    <definedName name="Nbpts15">#REF!</definedName>
    <definedName name="Nbpts4">#REF!</definedName>
    <definedName name="Nbpts6">#REF!</definedName>
    <definedName name="Nbpts9">#REF!</definedName>
    <definedName name="p_nom">[1]Agents!$AE$2</definedName>
    <definedName name="p_nom1">[1]Agents!$AE$2</definedName>
    <definedName name="Samedioudimanche">#REF!</definedName>
    <definedName name="Tableagts">#REF!</definedName>
    <definedName name="Type_astreintes">#REF!</definedName>
    <definedName name="Types_astreintes">#REF!</definedName>
    <definedName name="_xlnm.Print_Area" localSheetId="4">BDD '[2]1217'!$A$1:$G$37</definedName>
    <definedName name="_xlnm.Print_Area" localSheetId="7">BDD '[2]1217'!$A$1:$G$37</definedName>
    <definedName name="_xlnm.Print_Area">BDD '[2]1217'!$A$1:$G$37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8" i="8" l="1"/>
  <c r="C117" i="8"/>
  <c r="C116" i="8"/>
  <c r="C95" i="8"/>
  <c r="E112" i="8"/>
  <c r="D112" i="8"/>
  <c r="H112" i="8"/>
  <c r="G112" i="8"/>
  <c r="F112" i="8"/>
  <c r="E118" i="8"/>
  <c r="E120" i="8"/>
  <c r="E124" i="8" s="1"/>
  <c r="C151" i="8"/>
  <c r="C152" i="8" s="1"/>
  <c r="C119" i="8" l="1"/>
  <c r="C123" i="8" s="1"/>
  <c r="E116" i="8"/>
  <c r="E119" i="8"/>
  <c r="E117" i="8"/>
  <c r="C122" i="8" l="1"/>
  <c r="E123" i="8"/>
  <c r="E122" i="8"/>
  <c r="J33" i="8" l="1"/>
  <c r="E40" i="8" l="1"/>
  <c r="C40" i="8"/>
  <c r="F33" i="8"/>
  <c r="E146" i="8"/>
  <c r="E38" i="8" l="1"/>
  <c r="I89" i="8"/>
  <c r="I78" i="8"/>
  <c r="H78" i="8"/>
  <c r="G78" i="8"/>
  <c r="F78" i="8"/>
  <c r="H89" i="8"/>
  <c r="G89" i="8"/>
  <c r="E97" i="8" s="1"/>
  <c r="E101" i="8" s="1"/>
  <c r="F89" i="8"/>
  <c r="H54" i="8"/>
  <c r="H21" i="8"/>
  <c r="G54" i="8"/>
  <c r="E61" i="8" s="1"/>
  <c r="F54" i="8"/>
  <c r="E60" i="8" s="1"/>
  <c r="G33" i="8"/>
  <c r="E33" i="8"/>
  <c r="D33" i="8"/>
  <c r="G21" i="8"/>
  <c r="F21" i="8"/>
  <c r="E21" i="8"/>
  <c r="D21" i="8"/>
  <c r="B9" i="4"/>
  <c r="C60" i="8" l="1"/>
  <c r="E63" i="8"/>
  <c r="E62" i="8"/>
  <c r="C62" i="8"/>
  <c r="C63" i="8"/>
  <c r="E42" i="8"/>
  <c r="E41" i="8"/>
  <c r="E65" i="8"/>
  <c r="E39" i="8"/>
  <c r="E43" i="8" s="1"/>
  <c r="C38" i="8"/>
  <c r="C93" i="8"/>
  <c r="C94" i="8"/>
  <c r="E95" i="8"/>
  <c r="E94" i="8"/>
  <c r="E96" i="8"/>
  <c r="C96" i="8"/>
  <c r="E93" i="8"/>
  <c r="C41" i="8" l="1"/>
  <c r="C42" i="8" s="1"/>
  <c r="E64" i="8"/>
  <c r="C100" i="8"/>
  <c r="C99" i="8"/>
  <c r="E100" i="8"/>
  <c r="E99" i="8"/>
  <c r="C64" i="8"/>
  <c r="B16" i="4"/>
  <c r="B14" i="4"/>
  <c r="B10" i="4"/>
  <c r="B15" i="4"/>
  <c r="B6" i="4"/>
  <c r="C2" i="4"/>
  <c r="C1" i="4"/>
  <c r="B11" i="4" l="1"/>
  <c r="B12" i="4"/>
  <c r="B1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tc={D52DF0DB-C8CD-4E49-AC79-3B7D989A81E6}</author>
    <author>tc={76505FE9-47EA-4B88-ACEE-5A3DE42BE6CF}</author>
    <author>tc={4170225A-C4A2-48B6-8A79-3D56F0CC7B19}</author>
  </authors>
  <commentList>
    <comment ref="F14" authorId="0" shapeId="0" xr:uid="{D52DF0DB-C8CD-4E49-AC79-3B7D989A81E6}">
      <text>
        <t>[Threaded comment]
Your version of Excel allows you to read this threaded comment; however, any edits to it will get removed if the file is opened in a newer version of Excel. Learn more: https://go.microsoft.com/fwlink/?linkid=870924
Comment:
    Ajouter des gardes fous
Reply:
    Bloquer à 24h</t>
      </text>
    </comment>
    <comment ref="G14" authorId="1" shapeId="0" xr:uid="{76505FE9-47EA-4B88-ACEE-5A3DE42BE6CF}">
      <text>
        <t>[Threaded comment]
Your version of Excel allows you to read this threaded comment; however, any edits to it will get removed if the file is opened in a newer version of Excel. Learn more: https://go.microsoft.com/fwlink/?linkid=870924
Comment:
    Identique à la colonne Réintégration temps (1)</t>
      </text>
    </comment>
    <comment ref="H14" authorId="2" shapeId="0" xr:uid="{4170225A-C4A2-48B6-8A79-3D56F0CC7B19}">
      <text>
        <t>[Threaded comment]
Your version of Excel allows you to read this threaded comment; however, any edits to it will get removed if the file is opened in a newer version of Excel. Learn more: https://go.microsoft.com/fwlink/?linkid=870924
Comment:
    La saisie de ce champ ne doit pas être supérieur à la présence théorique jour
Reply:
    Prés. théo. jour</t>
      </text>
    </comment>
  </commentList>
</comments>
</file>

<file path=xl/sharedStrings.xml><?xml version="1.0" encoding="utf-8"?>
<sst xmlns="http://schemas.openxmlformats.org/spreadsheetml/2006/main" count="978" uniqueCount="235">
  <si>
    <t>31/07/2024 11:13</t>
  </si>
  <si>
    <t>Récapitulatif hebdo. des heures (Hcen)</t>
  </si>
  <si>
    <t>Du 12/02/2024 au 18/02/2024</t>
  </si>
  <si>
    <t>Du matricule 75307569 au matricule 75307569</t>
  </si>
  <si>
    <t>AC75006670</t>
  </si>
  <si>
    <t>Service : 753031907D 753031907D</t>
  </si>
  <si>
    <t>Matricule : 75307569 ROBE STEPHANIE</t>
  </si>
  <si>
    <t>Semaine : 07</t>
  </si>
  <si>
    <t>Dates</t>
  </si>
  <si>
    <t>Pointages réels</t>
  </si>
  <si>
    <t>Pointages validés</t>
  </si>
  <si>
    <t>Prés. bad jour</t>
  </si>
  <si>
    <t>Prés. bad. validée</t>
  </si>
  <si>
    <t>Prés. théo. jour</t>
  </si>
  <si>
    <t>D/C jour</t>
  </si>
  <si>
    <t>D/C périod.</t>
  </si>
  <si>
    <t>D/C cum.</t>
  </si>
  <si>
    <t>Absences</t>
  </si>
  <si>
    <t>Consignes</t>
  </si>
  <si>
    <t xml:space="preserve">09,67  12,53  13,20  17,63 </t>
  </si>
  <si>
    <t xml:space="preserve"> </t>
  </si>
  <si>
    <t xml:space="preserve">09,70  12,25  13,33  17,68 </t>
  </si>
  <si>
    <t xml:space="preserve">08,77  12,63  13,05  13,97 </t>
  </si>
  <si>
    <t xml:space="preserve">09,48  12,33  13,67  20,23 </t>
  </si>
  <si>
    <t xml:space="preserve">09,48  12,33  13,67  20,00 </t>
  </si>
  <si>
    <t xml:space="preserve">08,52  12,77  13,38  16,37 </t>
  </si>
  <si>
    <t>Total Semaine</t>
  </si>
  <si>
    <t>Total Matricule</t>
  </si>
  <si>
    <t>Total Service</t>
  </si>
  <si>
    <t>Total général</t>
  </si>
  <si>
    <t>eTemptation</t>
  </si>
  <si>
    <t>1</t>
  </si>
  <si>
    <t>06/08/2024 09:54</t>
  </si>
  <si>
    <t>Du 17/06/2024 au 23/06/2024</t>
  </si>
  <si>
    <t>Du matricule 75307699 au matricule 75307699</t>
  </si>
  <si>
    <t>AC75007892</t>
  </si>
  <si>
    <t>Service : 75306BF13G 75306BF13G</t>
  </si>
  <si>
    <t>Matricule : 75307699 DUBOIS THIBAUT</t>
  </si>
  <si>
    <t>Semaine : 25</t>
  </si>
  <si>
    <t xml:space="preserve">07,72  13,77  13,92  18,53 </t>
  </si>
  <si>
    <t xml:space="preserve">08,27  12,85  13,40  17,77 </t>
  </si>
  <si>
    <t xml:space="preserve">07,90  11,60 </t>
  </si>
  <si>
    <t>151        A   3,90</t>
  </si>
  <si>
    <t xml:space="preserve">08,98  12,43  13,22  17,72 </t>
  </si>
  <si>
    <t xml:space="preserve">08,68  12,63  13,02  18,03 </t>
  </si>
  <si>
    <t>22/08/2024 14:39</t>
  </si>
  <si>
    <t>Du 29/04/2024 au 31/05/2024</t>
  </si>
  <si>
    <t>Du matricule 75307654 au matricule 75307654</t>
  </si>
  <si>
    <t>AC75007155</t>
  </si>
  <si>
    <t>Service : 75304KBS3E 75304KBS3E</t>
  </si>
  <si>
    <t>Matricule : 75307654 TOURBIER GUILLAUME</t>
  </si>
  <si>
    <t>Semaine : 18</t>
  </si>
  <si>
    <t xml:space="preserve">08,30  11,93  12,63  17,60 </t>
  </si>
  <si>
    <t xml:space="preserve">08,07  12,03  13,28  17,92 </t>
  </si>
  <si>
    <t>FERI       J   7,80</t>
  </si>
  <si>
    <t>11123      J   7,80</t>
  </si>
  <si>
    <t>Semaine : 19</t>
  </si>
  <si>
    <t xml:space="preserve">08,17  11,92  12,63  17,62 </t>
  </si>
  <si>
    <t xml:space="preserve">08,17  12,08  13,28  18,17 </t>
  </si>
  <si>
    <t>14724      J   7,80</t>
  </si>
  <si>
    <t>Semaine : 20</t>
  </si>
  <si>
    <t xml:space="preserve">08,25  12,08  13,80  17,87 </t>
  </si>
  <si>
    <t xml:space="preserve">08,03  12,05  13,10  18,40 </t>
  </si>
  <si>
    <t xml:space="preserve">08,20  12,07  13,12  17,58 </t>
  </si>
  <si>
    <t xml:space="preserve">08,07  11,85  12,98  17,65 </t>
  </si>
  <si>
    <t xml:space="preserve">08,07  12,35  13,02  16,03 </t>
  </si>
  <si>
    <t>Semaine : 21</t>
  </si>
  <si>
    <t xml:space="preserve">08,27  12,07  13,00  16,50 </t>
  </si>
  <si>
    <t xml:space="preserve">08,08  12,05  13,40  18,13 </t>
  </si>
  <si>
    <t xml:space="preserve">08,15  12,12  13,50  18,68 </t>
  </si>
  <si>
    <t xml:space="preserve">08,02  12,23  12,87  16,43 </t>
  </si>
  <si>
    <t>Semaine : 22</t>
  </si>
  <si>
    <t xml:space="preserve">08,22  12,10  13,48  18,27 </t>
  </si>
  <si>
    <t xml:space="preserve">08,20  12,05  13,32  17,65 </t>
  </si>
  <si>
    <t>911        J   7,80</t>
  </si>
  <si>
    <t>14/11/2024 15:13</t>
  </si>
  <si>
    <t>Du 07/10/2024 au 27/10/2024</t>
  </si>
  <si>
    <t>Du matricule 75308573 au matricule 75308573</t>
  </si>
  <si>
    <t>Service : 75311DC32L 75311DC32L</t>
  </si>
  <si>
    <t>Matricule : 75308573 MARTIN RAPHAEL</t>
  </si>
  <si>
    <t>Semaine : 41</t>
  </si>
  <si>
    <t xml:space="preserve">08,67  12,43  13,02  17,07 </t>
  </si>
  <si>
    <t xml:space="preserve">08,83  12,52  13,60  16,45  17,08  19,00 </t>
  </si>
  <si>
    <t xml:space="preserve">08,15  11,97  13,83  17,02  17,60  19,00 </t>
  </si>
  <si>
    <t xml:space="preserve">07,93  11,95  13,62  16,87 </t>
  </si>
  <si>
    <t>Semaine : 42</t>
  </si>
  <si>
    <t xml:space="preserve">08,92  12,27  12,78  16,13 </t>
  </si>
  <si>
    <t xml:space="preserve">09,13  12,35  13,32  17,55 </t>
  </si>
  <si>
    <t xml:space="preserve">08,25  12,07  13,72  18,92 </t>
  </si>
  <si>
    <t>150        H   4,00 150        H   4,00</t>
  </si>
  <si>
    <t>Semaine : 43</t>
  </si>
  <si>
    <t xml:space="preserve">09,00  11,98  12,67  18,20 </t>
  </si>
  <si>
    <t xml:space="preserve">09,32  12,17  13,08  16,33 </t>
  </si>
  <si>
    <t xml:space="preserve">08,50  12,15  13,10  18,33 </t>
  </si>
  <si>
    <t xml:space="preserve">07,63  11,98  13,45  16,32  17,55  19,00 </t>
  </si>
  <si>
    <t>Légende</t>
  </si>
  <si>
    <t>Extractions en centièmes</t>
  </si>
  <si>
    <t>calcul du centième = minutes*100/60</t>
  </si>
  <si>
    <t>(1)</t>
  </si>
  <si>
    <r>
      <rPr>
        <b/>
        <sz val="10"/>
        <rFont val="Arial"/>
        <family val="2"/>
      </rPr>
      <t xml:space="preserve">Pour les HS uniquement (hors cadre au forfait) et si la DRH a donné son accord : </t>
    </r>
    <r>
      <rPr>
        <sz val="10"/>
        <rFont val="Arial"/>
        <family val="2"/>
      </rPr>
      <t xml:space="preserve">
- +10h : Prise en compte si le N+1 a justifié
- Ajouter le temps au-delà de 20h (uniquement si demande HS)
- Ajouter le temps avant 07h00 (uniquement si demande HS)
- Réintégration du temps d'absence 151 + 813 + 911
</t>
    </r>
    <r>
      <rPr>
        <b/>
        <sz val="10"/>
        <rFont val="Arial"/>
        <family val="2"/>
      </rPr>
      <t xml:space="preserve">
Pour les astreintes badgeant et cadre au forfait : </t>
    </r>
    <r>
      <rPr>
        <sz val="10"/>
        <rFont val="Arial"/>
        <family val="2"/>
      </rPr>
      <t xml:space="preserve">
- +10h 
- Ajouter le temps au-delà de 20h 
- Ajouter le temps avant 07h00
- Réintégration du temps d'absence 151
</t>
    </r>
    <r>
      <rPr>
        <sz val="10"/>
        <color rgb="FFFF0000"/>
        <rFont val="Arial"/>
        <family val="2"/>
      </rPr>
      <t>- Pour les cadres au forfait : majoration de 10% et paiement uniquement par tranche de 4h</t>
    </r>
    <r>
      <rPr>
        <sz val="10"/>
        <rFont val="Arial"/>
        <family val="2"/>
      </rPr>
      <t xml:space="preserve">
&gt; Calcul à venir plus tard</t>
    </r>
  </si>
  <si>
    <t>Colonnes à supprimer</t>
  </si>
  <si>
    <t>Zone de saisie à la main des gestionnaires</t>
  </si>
  <si>
    <t>Zone à bloquer</t>
  </si>
  <si>
    <t>Masque de saisie GI/GA pour temps complet (au-delà de 35h00)</t>
  </si>
  <si>
    <t>Modèle</t>
  </si>
  <si>
    <t>Réintégration temps (1)</t>
  </si>
  <si>
    <t>Ajustement heures de nuit et week-end</t>
  </si>
  <si>
    <t>Prés. théo. Jour recalculé - Jour férié</t>
  </si>
  <si>
    <t>Commentaire</t>
  </si>
  <si>
    <t xml:space="preserve">08,68  18,03 </t>
  </si>
  <si>
    <t>Exemple de saisie par la GAP pour une demande d'HS sur le lundi et le samedi</t>
  </si>
  <si>
    <t>Prés. théo. Jour recalculé - Jour férié (E)</t>
  </si>
  <si>
    <t>Ajout +3,90 Récup débit/crédit</t>
  </si>
  <si>
    <t>Neutralisation pause déj (-0,58 centièmes)</t>
  </si>
  <si>
    <t>Résultats attendus en même temps que le masque de saisie si temps complet</t>
  </si>
  <si>
    <t>GA/GASSI</t>
  </si>
  <si>
    <t>GI/GAI</t>
  </si>
  <si>
    <t>nb heures sup déclarées sur le formulaire de demande susceptibles d'être payées avec la date ou la période</t>
  </si>
  <si>
    <t>Remontée automatique du formulaire validée par le manager en centième</t>
  </si>
  <si>
    <t xml:space="preserve">Heures supplémentaires semaine (D) </t>
  </si>
  <si>
    <t>= Total réintégration temps (1) + total ajustement heures de nuit et week-end - total prés. Théo. Jour</t>
  </si>
  <si>
    <t>= Total réintégration temps (1) - total prés. Théo. Jour</t>
  </si>
  <si>
    <t>Heures supplémentaires nuit et week-end (C)</t>
  </si>
  <si>
    <t>= Total ajustement heures de nuit et week-end</t>
  </si>
  <si>
    <t>HS non majorées (ex : de 39h à 39h59)</t>
  </si>
  <si>
    <t>En cas de jours fériés en semaine : recalcul de l'horaire de référence ramené sur le nb de jours ouvrés 
=total semaine hebdo en colonne E - Total réintégration temps (1)</t>
  </si>
  <si>
    <t>HS 25 % pour les 8 premières heures au-delà de l'horaire de référence +1heure (ex: 40ème heure pour un agent à 39h)</t>
  </si>
  <si>
    <t>Si D&gt;8 alors 8, sinon = D</t>
  </si>
  <si>
    <t>HS 50% au-delà des 8 heures</t>
  </si>
  <si>
    <t>Si D&gt;=8 alors D-8</t>
  </si>
  <si>
    <t>HS 100% nuit + week-end (GI)</t>
  </si>
  <si>
    <t>=C</t>
  </si>
  <si>
    <t>Exemple de saisie par la GAP pour une demande d'HS sur une semaine avec jour férié</t>
  </si>
  <si>
    <t>nb heures sup déclarées sur le formulaire de demande susceptibles d'être payées</t>
  </si>
  <si>
    <t>HS non majorées</t>
  </si>
  <si>
    <t>Si pas de jour férié (E=0), si  D&gt;8 alors 8, sinon = D
Si jour férié : on majore uniquement dès que l'agent a fait + que sa présence théorique totale</t>
  </si>
  <si>
    <t>Si pas de jour férié (E=0), on fait D&gt;8 alors 8, sinon = D
Si jour férié : on majore uniquement dès que l'agent a fait + que sa présence théorique totale</t>
  </si>
  <si>
    <t>La majoration ne tient pas compte des jours fériés</t>
  </si>
  <si>
    <t>Masque de saisie GI/GA pour temps partiel (-35 heures) - En cours : demander pour les cas des lignes en double / triple / quadruple si c'est gérable dans l'outil</t>
  </si>
  <si>
    <t>Exemple de saisie par la GAP pour une demande d'HS sur une semaine avec jour non travaillé - agent 4/5e</t>
  </si>
  <si>
    <t xml:space="preserve">Journée non travaillée </t>
  </si>
  <si>
    <t>Dans la limite de 5 semaines consécutives</t>
  </si>
  <si>
    <t>nb heures complémentaires déclarées sur le formulaire de demande susceptibles d'être payées</t>
  </si>
  <si>
    <t>Limite maximale contractuelle mensuelle</t>
  </si>
  <si>
    <t>=(Total prés. Théo. Jour * 52 / 12)*1/3</t>
  </si>
  <si>
    <t>=Total prés. Théo. Jour * 52 / 12*1/3</t>
  </si>
  <si>
    <t>Heures complémentaires - Plafond jusqu'à 1/3 de la durée contractuelle hebdo (F)</t>
  </si>
  <si>
    <t>Limité</t>
  </si>
  <si>
    <t>Heures complémentaires - Plafond jusqu'à 1/10ème de la durée contractuelle hebdo (G)</t>
  </si>
  <si>
    <t xml:space="preserve">Heures complémentaires semaine (D) </t>
  </si>
  <si>
    <t>HC non majorés</t>
  </si>
  <si>
    <t>En cas de jours fériés en semaine : recalcul de l'horaire de référence ramené sur le nb de jours ouvrés 
=E - Total réintégration temps (1)</t>
  </si>
  <si>
    <t xml:space="preserve">HC 10% Temps partiel </t>
  </si>
  <si>
    <t>10 % pour celles n’excédant pas 1/10ème de la durée contractuelle
Si D&gt;G alors G, sinon = D</t>
  </si>
  <si>
    <t>HC 25% Temps partiel</t>
  </si>
  <si>
    <t>25 % pour celles comprises entre 1/10ème et 1/3 de la durée contractuelle 
Si D&gt;=G alors D-G</t>
  </si>
  <si>
    <t>HC 100% Temps partiel</t>
  </si>
  <si>
    <t>100 % pour les HC effectuées week-end/férié et nuit</t>
  </si>
  <si>
    <t>Exemple de saisie par la GAP pour une demande d'HC sur deux jours (mardi jeudi) avec jour non travaillé (mercredi)- agent 4/5e</t>
  </si>
  <si>
    <t>08,83  12,52  13,60  16,45  17,08  20,85</t>
  </si>
  <si>
    <t xml:space="preserve">08,83  12,52  13,60  16,45  17,08  20,00 </t>
  </si>
  <si>
    <t>08,15  11,97  13,83  17,02  17,60  20,31</t>
  </si>
  <si>
    <t xml:space="preserve">08,15  11,97  13,83  17,02  17,60  20,00 </t>
  </si>
  <si>
    <t>=(Total demaine prés. Théo. Jour * 10%</t>
  </si>
  <si>
    <t>Heures complémentaires - Plafond jusqu'à 1/3 de la durée contractuelle mensuelle</t>
  </si>
  <si>
    <t>Zone de calcul système</t>
  </si>
  <si>
    <t>Masque de saisie pour cadres au forfait</t>
  </si>
  <si>
    <t xml:space="preserve">Pas d'HS, uniquement intervention en astreinte. </t>
  </si>
  <si>
    <t>Paiement par tranche de 4h</t>
  </si>
  <si>
    <t>Pas de cadre au forfait réduit</t>
  </si>
  <si>
    <t xml:space="preserve">Ajouter une case pour cocher qu'ils doivent indiquer le samedi travaillé dans GTA </t>
  </si>
  <si>
    <t>Ajouter une case pour confirmer qu'il n'y a pas d'absence en prévisionnel et que toutes les absences ont été saisies</t>
  </si>
  <si>
    <t>Résultats attendus</t>
  </si>
  <si>
    <t>XPRES       J   7,80</t>
  </si>
  <si>
    <t>nb heures d'intervention déclarées sur le formulaire d'astreintes susceptibles d'être payées</t>
  </si>
  <si>
    <t xml:space="preserve">Prévoir une zone de stockage pour les heures restantes à payer entre le 01/01/N et le 31/12/N </t>
  </si>
  <si>
    <t xml:space="preserve">Heures d'intervention </t>
  </si>
  <si>
    <t>Attente de l'outil astreinte</t>
  </si>
  <si>
    <t>Reliquat</t>
  </si>
  <si>
    <t xml:space="preserve">Heures restantes à payer entre le 01/01/N et le 31/12/N : cumul h restantes depuis le 01/01/N </t>
  </si>
  <si>
    <t>HS 10% à payer</t>
  </si>
  <si>
    <t>Faire apparaître toutes les tranches de 4h payables mais laisser la main aux gestionnaires pour forcer le paiement (ex. paie de décembre ou sortie)</t>
  </si>
  <si>
    <t>Compteur d'heures d'intervention restant à payer</t>
  </si>
  <si>
    <t>A solder au 31/12/N ou sortie</t>
  </si>
  <si>
    <t>Définition</t>
  </si>
  <si>
    <t>Source de la donnée</t>
  </si>
  <si>
    <t>Heures supplémentaires</t>
  </si>
  <si>
    <t>Cf. aspects réglementaires</t>
  </si>
  <si>
    <t>Heures complémentaires</t>
  </si>
  <si>
    <t>Temps complet</t>
  </si>
  <si>
    <r>
      <t xml:space="preserve">Un temps complet sont tous les temps de travail </t>
    </r>
    <r>
      <rPr>
        <b/>
        <sz val="10"/>
        <rFont val="Arial"/>
        <family val="2"/>
      </rPr>
      <t>&gt;35h hebdomadaire</t>
    </r>
    <r>
      <rPr>
        <sz val="10"/>
        <rFont val="Arial"/>
      </rPr>
      <t xml:space="preserve"> ou </t>
    </r>
    <r>
      <rPr>
        <b/>
        <sz val="10"/>
        <rFont val="Arial"/>
        <family val="2"/>
      </rPr>
      <t>&gt;7h journalier</t>
    </r>
    <r>
      <rPr>
        <sz val="10"/>
        <rFont val="Arial"/>
      </rPr>
      <t xml:space="preserve">. </t>
    </r>
  </si>
  <si>
    <r>
      <t xml:space="preserve">GTA - Extraction </t>
    </r>
    <r>
      <rPr>
        <b/>
        <sz val="10"/>
        <rFont val="Arial"/>
        <family val="2"/>
      </rPr>
      <t>SPRESENCEN</t>
    </r>
    <r>
      <rPr>
        <sz val="10"/>
        <rFont val="Arial"/>
      </rPr>
      <t xml:space="preserve"> "Récapitulatif hebdo. des heures (Hcen)": Colonne F "Prés. théo. Jour"</t>
    </r>
  </si>
  <si>
    <t xml:space="preserve">Reste à faire calcul pour DCJRI </t>
  </si>
  <si>
    <t>Temps partiel</t>
  </si>
  <si>
    <t xml:space="preserve">Un temps partiel sont tous les temps de travail &lt;35h hebdomadaire ou &lt;7h journalier. </t>
  </si>
  <si>
    <t>Non badgeant</t>
  </si>
  <si>
    <t>Cadre au forfait. Ne sont pas soumis au badge ou au temps de présence. Pas d'HS, uniquement intervention astreinte sur déclaration</t>
  </si>
  <si>
    <t>GTA - Extraction SPRESENCEN "Récapitulatif hebdo. des heures (Hcen)": Colonne K "Consignes" = XPRES</t>
  </si>
  <si>
    <t>Date de la semaine</t>
  </si>
  <si>
    <t>GTA - Extraction SPRESENCEN "Récapitulatif hebdo. des heures (Hcen)"</t>
  </si>
  <si>
    <t>Pointages réalisés par le collaborateur</t>
  </si>
  <si>
    <t>Pointages tenant compte des règles du protocole d'accord (PA) sur les horaires variables (HV)</t>
  </si>
  <si>
    <t>Temps de présence réalisé</t>
  </si>
  <si>
    <t>Temps de présence calculé après application des règles du PA HV</t>
  </si>
  <si>
    <t>A la main de la GAP</t>
  </si>
  <si>
    <t>Colonne à créer par les développeurs</t>
  </si>
  <si>
    <t xml:space="preserve">Horaire contractuel / Temps journalier à réaliser </t>
  </si>
  <si>
    <t>Colonne à supprimer</t>
  </si>
  <si>
    <t>Remonte les codes absences de GRH</t>
  </si>
  <si>
    <t>Colonne à supprimer sauf si la consigne = XPRES</t>
  </si>
  <si>
    <t>Somme des éléments remontés ou recalculés</t>
  </si>
  <si>
    <t>Info GTA déjà existante ou à créer par les développeurs</t>
  </si>
  <si>
    <t>Info AGT</t>
  </si>
  <si>
    <t>Code Gestion</t>
  </si>
  <si>
    <t>GI</t>
  </si>
  <si>
    <t>Gestion Informatique</t>
  </si>
  <si>
    <t>GAI</t>
  </si>
  <si>
    <t>GA</t>
  </si>
  <si>
    <t>Gestion Administratif</t>
  </si>
  <si>
    <t>GASSI</t>
  </si>
  <si>
    <t>heures à payer obligatoirement (WE, nuit…)</t>
  </si>
  <si>
    <t>présence badgée validée du lundi au dimanche</t>
  </si>
  <si>
    <t>nb heures absence rhv</t>
  </si>
  <si>
    <t>temps non comptabilisé sur GTA (durée j &gt;10h et/ou pointage après 20h)</t>
  </si>
  <si>
    <t>nb heures réalisées sur semaine</t>
  </si>
  <si>
    <t>durée hebdo théorique</t>
  </si>
  <si>
    <t>durée hebdo théorique en centième</t>
  </si>
  <si>
    <t>nb hsup à payer suite info A1</t>
  </si>
  <si>
    <t>nb hsup à payer obligatoirement suite info A2</t>
  </si>
  <si>
    <t>nb hsup déclarées non prises en compte</t>
  </si>
  <si>
    <t>hsup à payer en centième</t>
  </si>
  <si>
    <t>horaire hebdo en centième</t>
  </si>
  <si>
    <t>nb heures comptabilisées pour valorisation taux majoration à appliquer</t>
  </si>
  <si>
    <t>consigne négative DCJRI sur journées concernées suite info A1</t>
  </si>
  <si>
    <t>consigne négative DCJRI sur journées concernées suite info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</si>
</sst>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1040C]dd/mm/yy"/>
    <numFmt numFmtId="165" formatCode="&quot;&quot;###0.00"/>
    <numFmt numFmtId="166" formatCode="[$-F400]h:mm:ss\ AM/PM"/>
    <numFmt numFmtId="167" formatCode="h:mm;@"/>
  </numFmts>
  <fonts count="21">
    <font>
      <sz val="10"/>
      <name val="Arial"/>
    </font>
    <font>
      <sz val="11"/>
      <color theme="1"/>
      <name val="Calibri"/>
      <family val="2"/>
      <scheme val="minor"/>
    </font>
    <font>
      <sz val="11"/>
      <color theme="1"/>
      <name val="Calibri"/>
      <family val="2"/>
      <scheme val="minor"/>
    </font>
    <font>
      <sz val="9"/>
      <color indexed="8"/>
      <name val="Times New Roman"/>
      <family val="1"/>
    </font>
    <font>
      <b/>
      <sz val="13"/>
      <color indexed="8"/>
      <name val="Times New Roman"/>
      <family val="1"/>
    </font>
    <font>
      <sz val="9"/>
      <color indexed="63"/>
      <name val="Times New Roman"/>
      <family val="1"/>
    </font>
    <font>
      <b/>
      <sz val="11"/>
      <color indexed="8"/>
      <name val="Times New Roman"/>
      <family val="1"/>
    </font>
    <font>
      <b/>
      <sz val="9"/>
      <color indexed="8"/>
      <name val="Times New Roman"/>
      <family val="1"/>
    </font>
    <font>
      <sz val="7"/>
      <color indexed="8"/>
      <name val="Courier New"/>
      <family val="3"/>
    </font>
    <font>
      <sz val="7"/>
      <color indexed="8"/>
      <name val="Courier"/>
    </font>
    <font>
      <sz val="10"/>
      <name val="Arial"/>
      <family val="2"/>
    </font>
    <font>
      <i/>
      <sz val="11"/>
      <color theme="1"/>
      <name val="Calibri"/>
      <family val="2"/>
      <scheme val="minor"/>
    </font>
    <font>
      <sz val="11"/>
      <name val="Calibri Light"/>
      <family val="2"/>
    </font>
    <font>
      <b/>
      <sz val="10"/>
      <name val="Arial"/>
      <family val="2"/>
    </font>
    <font>
      <b/>
      <sz val="12"/>
      <name val="Arial"/>
      <family val="2"/>
    </font>
    <font>
      <sz val="11"/>
      <color rgb="FFFF0000"/>
      <name val="Calibri"/>
      <family val="2"/>
      <scheme val="minor"/>
    </font>
    <font>
      <sz val="11"/>
      <name val="Calibri"/>
      <family val="2"/>
      <scheme val="minor"/>
    </font>
    <font>
      <sz val="10"/>
      <color rgb="FFFF0000"/>
      <name val="Arial"/>
      <family val="2"/>
    </font>
    <font>
      <b/>
      <sz val="11"/>
      <color rgb="FFFF0000"/>
      <name val="Calibri"/>
      <family val="2"/>
      <scheme val="minor"/>
    </font>
    <font>
      <b/>
      <sz val="10"/>
      <name val="Arial"/>
    </font>
    <font>
      <sz val="8"/>
      <name val="Arial"/>
    </font>
  </fonts>
  <fills count="9">
    <fill>
      <patternFill patternType="none"/>
    </fill>
    <fill>
      <patternFill patternType="gray125"/>
    </fill>
    <fill>
      <patternFill patternType="solid">
        <fgColor indexed="62"/>
        <bgColor indexed="64"/>
      </patternFill>
    </fill>
    <fill>
      <patternFill patternType="solid">
        <fgColor rgb="FFFFFF00"/>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00B050"/>
        <bgColor indexed="64"/>
      </patternFill>
    </fill>
    <fill>
      <patternFill patternType="solid">
        <fgColor rgb="FF92D050"/>
        <bgColor indexed="64"/>
      </patternFill>
    </fill>
    <fill>
      <patternFill patternType="solid">
        <fgColor rgb="FFFFC000"/>
        <bgColor indexed="64"/>
      </patternFill>
    </fill>
  </fills>
  <borders count="13">
    <border>
      <left/>
      <right/>
      <top/>
      <bottom/>
      <diagonal/>
    </border>
    <border>
      <left style="thin">
        <color indexed="63"/>
      </left>
      <right style="thin">
        <color indexed="63"/>
      </right>
      <top style="thin">
        <color indexed="63"/>
      </top>
      <bottom/>
      <diagonal/>
    </border>
    <border>
      <left style="thin">
        <color indexed="63"/>
      </left>
      <right style="thin">
        <color indexed="63"/>
      </right>
      <top/>
      <bottom/>
      <diagonal/>
    </border>
    <border>
      <left style="thin">
        <color indexed="63"/>
      </left>
      <right style="thin">
        <color indexed="63"/>
      </right>
      <top/>
      <bottom style="thin">
        <color indexed="63"/>
      </bottom>
      <diagonal/>
    </border>
    <border>
      <left style="thin">
        <color indexed="8"/>
      </left>
      <right style="thin">
        <color indexed="8"/>
      </right>
      <top style="thin">
        <color indexed="8"/>
      </top>
      <bottom style="thin">
        <color indexed="8"/>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bottom/>
      <diagonal/>
    </border>
  </borders>
  <cellStyleXfs count="3">
    <xf numFmtId="0" fontId="0" fillId="0" borderId="0"/>
    <xf numFmtId="0" fontId="2" fillId="0" borderId="0"/>
    <xf numFmtId="0" fontId="10" fillId="0" borderId="0"/>
  </cellStyleXfs>
  <cellXfs count="136">
    <xf numFmtId="0" fontId="0" fillId="0" borderId="0" xfId="0"/>
    <xf numFmtId="0" fontId="3" fillId="0" borderId="1" xfId="0" applyFont="1" applyBorder="1" applyAlignment="1">
      <alignment horizontal="right"/>
    </xf>
    <xf numFmtId="0" fontId="4" fillId="0" borderId="2" xfId="0" applyFont="1" applyBorder="1" applyAlignment="1">
      <alignment horizontal="center"/>
    </xf>
    <xf numFmtId="0" fontId="3" fillId="0" borderId="2" xfId="0" applyFont="1" applyBorder="1" applyAlignment="1">
      <alignment horizontal="center"/>
    </xf>
    <xf numFmtId="0" fontId="5" fillId="0" borderId="3" xfId="0" applyFont="1" applyBorder="1" applyAlignment="1">
      <alignment horizontal="right"/>
    </xf>
    <xf numFmtId="0" fontId="3" fillId="0" borderId="0" xfId="0" applyFont="1"/>
    <xf numFmtId="0" fontId="7" fillId="2" borderId="4" xfId="0" applyFont="1" applyFill="1" applyBorder="1" applyAlignment="1">
      <alignment horizontal="center"/>
    </xf>
    <xf numFmtId="164" fontId="3" fillId="0" borderId="4" xfId="0" applyNumberFormat="1" applyFont="1" applyBorder="1" applyAlignment="1">
      <alignment horizontal="center"/>
    </xf>
    <xf numFmtId="0" fontId="8" fillId="0" borderId="4" xfId="0" applyFont="1" applyBorder="1" applyAlignment="1">
      <alignment horizontal="left"/>
    </xf>
    <xf numFmtId="165" fontId="3" fillId="0" borderId="4" xfId="0" applyNumberFormat="1" applyFont="1" applyBorder="1" applyAlignment="1">
      <alignment horizontal="right"/>
    </xf>
    <xf numFmtId="0" fontId="9" fillId="0" borderId="4" xfId="0" applyFont="1" applyBorder="1"/>
    <xf numFmtId="0" fontId="3" fillId="0" borderId="4" xfId="0" applyFont="1" applyBorder="1"/>
    <xf numFmtId="0" fontId="3" fillId="2" borderId="4" xfId="0" applyFont="1" applyFill="1" applyBorder="1"/>
    <xf numFmtId="165" fontId="3" fillId="2" borderId="4" xfId="0" applyNumberFormat="1" applyFont="1" applyFill="1" applyBorder="1" applyAlignment="1">
      <alignment horizontal="right"/>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right" vertical="center"/>
    </xf>
    <xf numFmtId="165" fontId="3" fillId="4" borderId="4" xfId="0" applyNumberFormat="1" applyFont="1" applyFill="1" applyBorder="1" applyAlignment="1">
      <alignment horizontal="right"/>
    </xf>
    <xf numFmtId="0" fontId="3" fillId="4" borderId="4" xfId="0" applyFont="1" applyFill="1" applyBorder="1"/>
    <xf numFmtId="165" fontId="3" fillId="3" borderId="4" xfId="0" applyNumberFormat="1" applyFont="1" applyFill="1" applyBorder="1" applyAlignment="1">
      <alignment horizontal="right"/>
    </xf>
    <xf numFmtId="165" fontId="3" fillId="5" borderId="4" xfId="0" applyNumberFormat="1" applyFont="1" applyFill="1" applyBorder="1" applyAlignment="1">
      <alignment horizontal="right"/>
    </xf>
    <xf numFmtId="0" fontId="0" fillId="3" borderId="0" xfId="0" applyFill="1"/>
    <xf numFmtId="0" fontId="10" fillId="0" borderId="0" xfId="0" applyFont="1"/>
    <xf numFmtId="0" fontId="2" fillId="0" borderId="0" xfId="1"/>
    <xf numFmtId="166" fontId="2" fillId="3" borderId="0" xfId="1" applyNumberFormat="1" applyFill="1"/>
    <xf numFmtId="2" fontId="2" fillId="6" borderId="0" xfId="1" applyNumberFormat="1" applyFill="1"/>
    <xf numFmtId="46" fontId="2" fillId="3" borderId="0" xfId="1" applyNumberFormat="1" applyFill="1"/>
    <xf numFmtId="46" fontId="2" fillId="7" borderId="0" xfId="1" applyNumberFormat="1" applyFill="1"/>
    <xf numFmtId="2" fontId="2" fillId="3" borderId="0" xfId="1" applyNumberFormat="1" applyFill="1"/>
    <xf numFmtId="2" fontId="2" fillId="0" borderId="0" xfId="1" applyNumberFormat="1"/>
    <xf numFmtId="166" fontId="2" fillId="7" borderId="0" xfId="1" applyNumberFormat="1" applyFill="1"/>
    <xf numFmtId="0" fontId="2" fillId="0" borderId="0" xfId="1" applyAlignment="1">
      <alignment wrapText="1"/>
    </xf>
    <xf numFmtId="167" fontId="2" fillId="8" borderId="0" xfId="1" applyNumberFormat="1" applyFill="1"/>
    <xf numFmtId="20" fontId="2" fillId="0" borderId="0" xfId="1" quotePrefix="1" applyNumberFormat="1"/>
    <xf numFmtId="167" fontId="2" fillId="0" borderId="0" xfId="1" applyNumberFormat="1"/>
    <xf numFmtId="0" fontId="10" fillId="0" borderId="0" xfId="2"/>
    <xf numFmtId="0" fontId="9" fillId="0" borderId="4" xfId="2" applyFont="1" applyBorder="1"/>
    <xf numFmtId="165" fontId="0" fillId="0" borderId="0" xfId="0" applyNumberFormat="1"/>
    <xf numFmtId="0" fontId="2" fillId="0" borderId="8" xfId="1" applyBorder="1" applyAlignment="1">
      <alignment wrapText="1"/>
    </xf>
    <xf numFmtId="166" fontId="11" fillId="0" borderId="8" xfId="1" quotePrefix="1" applyNumberFormat="1" applyFont="1" applyBorder="1" applyAlignment="1">
      <alignment wrapText="1"/>
    </xf>
    <xf numFmtId="2" fontId="2" fillId="0" borderId="8" xfId="1" applyNumberFormat="1" applyBorder="1"/>
    <xf numFmtId="0" fontId="12" fillId="0" borderId="0" xfId="0" applyFont="1" applyAlignment="1">
      <alignment horizontal="justify" vertical="center"/>
    </xf>
    <xf numFmtId="0" fontId="12" fillId="0" borderId="8" xfId="0" applyFont="1" applyBorder="1" applyAlignment="1">
      <alignment horizontal="justify" vertical="center"/>
    </xf>
    <xf numFmtId="0" fontId="10" fillId="0" borderId="0" xfId="0" applyFont="1" applyAlignment="1">
      <alignment wrapText="1"/>
    </xf>
    <xf numFmtId="2" fontId="0" fillId="0" borderId="0" xfId="0" applyNumberFormat="1" applyAlignment="1">
      <alignment vertical="center"/>
    </xf>
    <xf numFmtId="0" fontId="0" fillId="5" borderId="8" xfId="0" applyFill="1" applyBorder="1"/>
    <xf numFmtId="2" fontId="0" fillId="0" borderId="0" xfId="0" applyNumberFormat="1"/>
    <xf numFmtId="0" fontId="13" fillId="0" borderId="0" xfId="0" applyFont="1"/>
    <xf numFmtId="165" fontId="3" fillId="5" borderId="4" xfId="0" applyNumberFormat="1" applyFont="1" applyFill="1" applyBorder="1" applyAlignment="1">
      <alignment horizontal="left"/>
    </xf>
    <xf numFmtId="0" fontId="10" fillId="0" borderId="8" xfId="0" applyFont="1" applyBorder="1" applyAlignment="1">
      <alignment wrapText="1"/>
    </xf>
    <xf numFmtId="0" fontId="7" fillId="2"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0" fillId="0" borderId="0" xfId="0" applyAlignment="1">
      <alignment vertical="center" wrapText="1"/>
    </xf>
    <xf numFmtId="0" fontId="14" fillId="0" borderId="0" xfId="0" applyFont="1"/>
    <xf numFmtId="2" fontId="0" fillId="5" borderId="8" xfId="0" applyNumberFormat="1" applyFill="1" applyBorder="1"/>
    <xf numFmtId="0" fontId="10" fillId="0" borderId="0" xfId="0" applyFont="1" applyAlignment="1">
      <alignment vertical="center" wrapText="1"/>
    </xf>
    <xf numFmtId="0" fontId="0" fillId="0" borderId="8" xfId="0" applyBorder="1"/>
    <xf numFmtId="165" fontId="0" fillId="5" borderId="8" xfId="0" applyNumberFormat="1" applyFill="1" applyBorder="1"/>
    <xf numFmtId="165" fontId="3" fillId="3" borderId="11" xfId="0" applyNumberFormat="1" applyFont="1" applyFill="1" applyBorder="1" applyAlignment="1">
      <alignment horizontal="right"/>
    </xf>
    <xf numFmtId="0" fontId="15" fillId="0" borderId="8" xfId="1" applyFont="1" applyBorder="1" applyAlignment="1">
      <alignment wrapText="1"/>
    </xf>
    <xf numFmtId="0" fontId="16" fillId="0" borderId="8" xfId="1" applyFont="1" applyBorder="1" applyAlignment="1">
      <alignment wrapText="1"/>
    </xf>
    <xf numFmtId="0" fontId="12" fillId="0" borderId="8" xfId="0" applyFont="1" applyBorder="1" applyAlignment="1">
      <alignment horizontal="justify" vertical="center" wrapText="1"/>
    </xf>
    <xf numFmtId="2" fontId="15" fillId="0" borderId="8" xfId="1" quotePrefix="1" applyNumberFormat="1" applyFont="1" applyBorder="1" applyAlignment="1">
      <alignment vertical="center" wrapText="1"/>
    </xf>
    <xf numFmtId="2" fontId="15" fillId="0" borderId="8" xfId="1" quotePrefix="1" applyNumberFormat="1" applyFont="1" applyBorder="1" applyAlignment="1">
      <alignment wrapText="1"/>
    </xf>
    <xf numFmtId="2" fontId="0" fillId="0" borderId="8" xfId="0" applyNumberFormat="1" applyBorder="1"/>
    <xf numFmtId="2" fontId="0" fillId="3" borderId="8" xfId="0" applyNumberFormat="1" applyFill="1" applyBorder="1"/>
    <xf numFmtId="0" fontId="10" fillId="3" borderId="8" xfId="0" quotePrefix="1" applyFont="1" applyFill="1" applyBorder="1"/>
    <xf numFmtId="0" fontId="10" fillId="3" borderId="8" xfId="0" applyFont="1" applyFill="1" applyBorder="1"/>
    <xf numFmtId="165" fontId="0" fillId="3" borderId="8" xfId="0" applyNumberFormat="1" applyFill="1" applyBorder="1"/>
    <xf numFmtId="0" fontId="0" fillId="0" borderId="0" xfId="0" quotePrefix="1" applyAlignment="1">
      <alignment vertical="center"/>
    </xf>
    <xf numFmtId="0" fontId="0" fillId="0" borderId="0" xfId="0" applyAlignment="1">
      <alignment vertical="center"/>
    </xf>
    <xf numFmtId="0" fontId="0" fillId="4" borderId="0" xfId="0" applyFill="1" applyAlignment="1">
      <alignment vertical="center" wrapText="1"/>
    </xf>
    <xf numFmtId="0" fontId="0" fillId="5" borderId="0" xfId="0" applyFill="1" applyAlignment="1">
      <alignment vertical="center" wrapText="1"/>
    </xf>
    <xf numFmtId="0" fontId="0" fillId="3" borderId="0" xfId="0" applyFill="1" applyAlignment="1">
      <alignment vertical="center" wrapText="1"/>
    </xf>
    <xf numFmtId="0" fontId="0" fillId="0" borderId="0" xfId="0" quotePrefix="1" applyAlignment="1">
      <alignment vertical="center" wrapText="1"/>
    </xf>
    <xf numFmtId="0" fontId="14" fillId="3" borderId="0" xfId="0" applyFont="1" applyFill="1"/>
    <xf numFmtId="2" fontId="18" fillId="0" borderId="8" xfId="1" applyNumberFormat="1" applyFont="1" applyBorder="1" applyAlignment="1">
      <alignment horizontal="center" wrapText="1"/>
    </xf>
    <xf numFmtId="0" fontId="10" fillId="3" borderId="12" xfId="0" applyFont="1" applyFill="1" applyBorder="1"/>
    <xf numFmtId="0" fontId="0" fillId="0" borderId="0" xfId="0" applyAlignment="1">
      <alignment wrapText="1"/>
    </xf>
    <xf numFmtId="0" fontId="4" fillId="0" borderId="2" xfId="2" applyFont="1" applyBorder="1" applyAlignment="1">
      <alignment horizontal="center"/>
    </xf>
    <xf numFmtId="0" fontId="13" fillId="0" borderId="8" xfId="0" applyFont="1" applyBorder="1" applyAlignment="1">
      <alignment horizontal="center" vertical="center" wrapText="1"/>
    </xf>
    <xf numFmtId="0" fontId="7" fillId="2" borderId="8"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0" fillId="0" borderId="8" xfId="0" applyBorder="1" applyAlignment="1">
      <alignment vertical="center" wrapText="1"/>
    </xf>
    <xf numFmtId="0" fontId="10" fillId="0" borderId="8" xfId="0" applyFont="1" applyBorder="1" applyAlignment="1">
      <alignment vertical="center" wrapText="1"/>
    </xf>
    <xf numFmtId="0" fontId="3" fillId="2" borderId="4" xfId="2" applyFont="1" applyFill="1" applyBorder="1"/>
    <xf numFmtId="0" fontId="7" fillId="3" borderId="8" xfId="0" applyFont="1" applyFill="1" applyBorder="1" applyAlignment="1">
      <alignment horizontal="center" vertical="center" wrapText="1"/>
    </xf>
    <xf numFmtId="0" fontId="10" fillId="3" borderId="8" xfId="0" applyFont="1" applyFill="1" applyBorder="1" applyAlignment="1">
      <alignment vertical="center" wrapText="1"/>
    </xf>
    <xf numFmtId="0" fontId="0" fillId="3" borderId="8" xfId="0" applyFill="1" applyBorder="1" applyAlignment="1">
      <alignment vertical="center" wrapText="1"/>
    </xf>
    <xf numFmtId="0" fontId="10" fillId="3" borderId="0" xfId="0" applyFont="1" applyFill="1"/>
    <xf numFmtId="0" fontId="1" fillId="0" borderId="8" xfId="1" applyFont="1" applyBorder="1" applyAlignment="1">
      <alignment wrapText="1"/>
    </xf>
    <xf numFmtId="0" fontId="19" fillId="0" borderId="0" xfId="0" applyFont="1" applyAlignment="1">
      <alignment vertical="center" wrapText="1"/>
    </xf>
    <xf numFmtId="14" fontId="0" fillId="0" borderId="0" xfId="0" applyNumberFormat="1" applyAlignment="1">
      <alignment vertical="center" wrapText="1"/>
    </xf>
    <xf numFmtId="2" fontId="1" fillId="0" borderId="8" xfId="1" quotePrefix="1" applyNumberFormat="1" applyFont="1" applyBorder="1" applyAlignment="1">
      <alignment wrapText="1"/>
    </xf>
    <xf numFmtId="0" fontId="0" fillId="3" borderId="8" xfId="0" applyFill="1" applyBorder="1"/>
    <xf numFmtId="0" fontId="10" fillId="0" borderId="8" xfId="0" applyFont="1" applyBorder="1" applyAlignment="1">
      <alignment horizontal="center" vertical="center" wrapText="1"/>
    </xf>
    <xf numFmtId="0" fontId="3" fillId="0" borderId="1" xfId="2" applyFont="1" applyBorder="1" applyAlignment="1">
      <alignment horizontal="right"/>
    </xf>
    <xf numFmtId="0" fontId="3" fillId="0" borderId="2" xfId="2" applyFont="1" applyBorder="1" applyAlignment="1">
      <alignment horizontal="center"/>
    </xf>
    <xf numFmtId="0" fontId="5" fillId="0" borderId="3" xfId="2" applyFont="1" applyBorder="1" applyAlignment="1">
      <alignment horizontal="right"/>
    </xf>
    <xf numFmtId="0" fontId="7" fillId="2" borderId="4" xfId="2" applyFont="1" applyFill="1" applyBorder="1" applyAlignment="1">
      <alignment horizontal="center"/>
    </xf>
    <xf numFmtId="164" fontId="3" fillId="0" borderId="4" xfId="2" applyNumberFormat="1" applyFont="1" applyBorder="1" applyAlignment="1">
      <alignment horizontal="center"/>
    </xf>
    <xf numFmtId="0" fontId="8" fillId="0" borderId="4" xfId="2" applyFont="1" applyBorder="1" applyAlignment="1">
      <alignment horizontal="left"/>
    </xf>
    <xf numFmtId="165" fontId="3" fillId="0" borderId="4" xfId="2" applyNumberFormat="1" applyFont="1" applyBorder="1" applyAlignment="1">
      <alignment horizontal="right"/>
    </xf>
    <xf numFmtId="0" fontId="3" fillId="0" borderId="4" xfId="2" applyFont="1" applyBorder="1"/>
    <xf numFmtId="165" fontId="3" fillId="2" borderId="4" xfId="2" applyNumberFormat="1" applyFont="1" applyFill="1" applyBorder="1" applyAlignment="1">
      <alignment horizontal="right"/>
    </xf>
    <xf numFmtId="0" fontId="3" fillId="0" borderId="0" xfId="2" applyFont="1"/>
    <xf numFmtId="0" fontId="3" fillId="0" borderId="5" xfId="2" applyFont="1" applyBorder="1" applyAlignment="1">
      <alignment horizontal="center" vertical="center"/>
    </xf>
    <xf numFmtId="0" fontId="3" fillId="0" borderId="6" xfId="2" applyFont="1" applyBorder="1" applyAlignment="1">
      <alignment horizontal="center" vertical="center"/>
    </xf>
    <xf numFmtId="0" fontId="3" fillId="0" borderId="7" xfId="2" applyFont="1" applyBorder="1" applyAlignment="1">
      <alignment horizontal="right" vertical="center"/>
    </xf>
    <xf numFmtId="20" fontId="0" fillId="0" borderId="0" xfId="0" applyNumberFormat="1"/>
    <xf numFmtId="20" fontId="0" fillId="3" borderId="0" xfId="0" applyNumberFormat="1" applyFill="1"/>
    <xf numFmtId="20" fontId="3" fillId="0" borderId="0" xfId="0" applyNumberFormat="1" applyFont="1"/>
    <xf numFmtId="0" fontId="10" fillId="0" borderId="8" xfId="0" applyFont="1" applyBorder="1" applyAlignment="1">
      <alignment horizontal="center"/>
    </xf>
    <xf numFmtId="0" fontId="10" fillId="0" borderId="0" xfId="0" quotePrefix="1" applyFont="1" applyAlignment="1">
      <alignment horizontal="left" vertical="center" wrapText="1"/>
    </xf>
    <xf numFmtId="0" fontId="6" fillId="0" borderId="0" xfId="0" applyFont="1" applyAlignment="1"/>
    <xf numFmtId="0" fontId="0" fillId="0" borderId="0" xfId="0" applyAlignment="1"/>
    <xf numFmtId="0" fontId="6" fillId="0" borderId="0" xfId="2" applyFont="1" applyAlignment="1"/>
    <xf numFmtId="0" fontId="10" fillId="0" borderId="0" xfId="2" applyAlignment="1"/>
    <xf numFmtId="0" fontId="7" fillId="2" borderId="4" xfId="2" applyFont="1" applyFill="1" applyBorder="1" applyAlignment="1">
      <alignment horizontal="center" vertical="center" wrapText="1"/>
    </xf>
    <xf numFmtId="165" fontId="7" fillId="5" borderId="4" xfId="0" applyNumberFormat="1" applyFont="1" applyFill="1" applyBorder="1" applyAlignment="1">
      <alignment horizontal="right"/>
    </xf>
    <xf numFmtId="165" fontId="7" fillId="5" borderId="4" xfId="0" applyNumberFormat="1" applyFont="1" applyFill="1" applyBorder="1" applyAlignment="1">
      <alignment horizontal="left"/>
    </xf>
    <xf numFmtId="165" fontId="3" fillId="0" borderId="9" xfId="2" applyNumberFormat="1" applyFont="1" applyBorder="1" applyAlignment="1">
      <alignment horizontal="right"/>
    </xf>
    <xf numFmtId="165" fontId="3" fillId="0" borderId="9" xfId="0" applyNumberFormat="1" applyFont="1" applyBorder="1" applyAlignment="1">
      <alignment horizontal="right"/>
    </xf>
    <xf numFmtId="0" fontId="3" fillId="2" borderId="10" xfId="2" applyFont="1" applyFill="1" applyBorder="1"/>
    <xf numFmtId="165" fontId="3" fillId="2" borderId="8" xfId="2" applyNumberFormat="1" applyFont="1" applyFill="1" applyBorder="1" applyAlignment="1">
      <alignment horizontal="right"/>
    </xf>
    <xf numFmtId="2" fontId="1" fillId="3" borderId="8" xfId="1" quotePrefix="1" applyNumberFormat="1" applyFont="1" applyFill="1" applyBorder="1" applyAlignment="1">
      <alignment wrapText="1"/>
    </xf>
    <xf numFmtId="165" fontId="1" fillId="0" borderId="8" xfId="1" quotePrefix="1" applyNumberFormat="1" applyFont="1" applyBorder="1" applyAlignment="1">
      <alignment wrapText="1"/>
    </xf>
    <xf numFmtId="165" fontId="1" fillId="3" borderId="8" xfId="1" quotePrefix="1" applyNumberFormat="1" applyFont="1" applyFill="1" applyBorder="1" applyAlignment="1">
      <alignment wrapText="1"/>
    </xf>
    <xf numFmtId="20" fontId="1" fillId="0" borderId="8" xfId="1" quotePrefix="1" applyNumberFormat="1" applyFont="1" applyBorder="1"/>
    <xf numFmtId="0" fontId="1" fillId="0" borderId="8" xfId="1" quotePrefix="1" applyFont="1" applyBorder="1"/>
    <xf numFmtId="0" fontId="1" fillId="0" borderId="0" xfId="1" applyFont="1" applyAlignment="1">
      <alignment wrapText="1"/>
    </xf>
    <xf numFmtId="0" fontId="1" fillId="0" borderId="0" xfId="1" quotePrefix="1" applyFont="1"/>
    <xf numFmtId="2" fontId="1" fillId="0" borderId="8" xfId="1" applyNumberFormat="1" applyFont="1" applyBorder="1"/>
    <xf numFmtId="0" fontId="1" fillId="0" borderId="8" xfId="1" quotePrefix="1" applyFont="1" applyBorder="1" applyAlignment="1">
      <alignment wrapText="1"/>
    </xf>
    <xf numFmtId="0" fontId="1" fillId="3" borderId="8" xfId="1" quotePrefix="1" applyFont="1" applyFill="1" applyBorder="1" applyAlignment="1">
      <alignment wrapText="1"/>
    </xf>
    <xf numFmtId="0" fontId="7" fillId="2" borderId="8" xfId="2" applyFont="1" applyFill="1" applyBorder="1" applyAlignment="1">
      <alignment horizontal="center" vertical="center" wrapText="1"/>
    </xf>
  </cellXfs>
  <cellStyles count="3">
    <cellStyle name="Normal" xfId="0" builtinId="0"/>
    <cellStyle name="Normal 2" xfId="1" xr:uid="{F5D44DD7-A398-4FC5-9E6E-BEFFD4DF6084}"/>
    <cellStyle name="Normal 3" xfId="2" xr:uid="{F4EF522F-D1FA-4197-8EB2-392F5BF08AB7}"/>
  </cellStyles>
  <dxfs count="1">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DCDCED"/>
      <rgbColor rgb="008080C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67057</xdr:colOff>
      <xdr:row>91</xdr:row>
      <xdr:rowOff>37676</xdr:rowOff>
    </xdr:from>
    <xdr:to>
      <xdr:col>21</xdr:col>
      <xdr:colOff>428955</xdr:colOff>
      <xdr:row>95</xdr:row>
      <xdr:rowOff>409681</xdr:rowOff>
    </xdr:to>
    <xdr:pic>
      <xdr:nvPicPr>
        <xdr:cNvPr id="2" name="Image 1">
          <a:extLst>
            <a:ext uri="{FF2B5EF4-FFF2-40B4-BE49-F238E27FC236}">
              <a16:creationId xmlns:a16="http://schemas.microsoft.com/office/drawing/2014/main" id="{B53EFC7D-7E27-7364-B6BC-F26131FB0106}"/>
            </a:ext>
          </a:extLst>
        </xdr:cNvPr>
        <xdr:cNvPicPr>
          <a:picLocks noChangeAspect="1"/>
        </xdr:cNvPicPr>
      </xdr:nvPicPr>
      <xdr:blipFill>
        <a:blip xmlns:r="http://schemas.openxmlformats.org/officeDocument/2006/relationships" r:embed="rId1"/>
        <a:stretch>
          <a:fillRect/>
        </a:stretch>
      </xdr:blipFill>
      <xdr:spPr>
        <a:xfrm>
          <a:off x="7901370" y="29739801"/>
          <a:ext cx="14538273" cy="3801005"/>
        </a:xfrm>
        <a:prstGeom prst="rect">
          <a:avLst/>
        </a:prstGeom>
      </xdr:spPr>
    </xdr:pic>
    <xdr:clientData/>
  </xdr:twoCellAnchor>
  <xdr:oneCellAnchor>
    <xdr:from>
      <xdr:col>6</xdr:col>
      <xdr:colOff>67057</xdr:colOff>
      <xdr:row>114</xdr:row>
      <xdr:rowOff>37676</xdr:rowOff>
    </xdr:from>
    <xdr:ext cx="14538273" cy="3801005"/>
    <xdr:pic>
      <xdr:nvPicPr>
        <xdr:cNvPr id="3" name="Image 2">
          <a:extLst>
            <a:ext uri="{FF2B5EF4-FFF2-40B4-BE49-F238E27FC236}">
              <a16:creationId xmlns:a16="http://schemas.microsoft.com/office/drawing/2014/main" id="{7B2E57A1-4FB2-40E4-814D-123BA3D47643}"/>
            </a:ext>
          </a:extLst>
        </xdr:cNvPr>
        <xdr:cNvPicPr>
          <a:picLocks noChangeAspect="1"/>
        </xdr:cNvPicPr>
      </xdr:nvPicPr>
      <xdr:blipFill>
        <a:blip xmlns:r="http://schemas.openxmlformats.org/officeDocument/2006/relationships" r:embed="rId1"/>
        <a:stretch>
          <a:fillRect/>
        </a:stretch>
      </xdr:blipFill>
      <xdr:spPr>
        <a:xfrm>
          <a:off x="7901370" y="29739801"/>
          <a:ext cx="14538273" cy="380100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snf\Partage-ACOSS\PAIE_DSI_ACOSS_2018\ORDONNATEUR\13%20-%20PORTEFEUILLES%20MUTUALISES\Portefeuille%20VIOLETTE\2024\Astreintes\2024%20-%20Astreintes.xlsx" TargetMode="External"/><Relationship Id="rId1" Type="http://schemas.openxmlformats.org/officeDocument/2006/relationships/externalLinkPath" Target="file:///\\snf\Partage-ACOSS\PAIE_DSI_ACOSS_2018\ORDONNATEUR\13%20-%20PORTEFEUILLES%20MUTUALISES\Portefeuille%20VIOLETTE\2024\Astreintes\2024%20-%20Astreintes.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1217"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anvier"/>
      <sheetName val="Février"/>
      <sheetName val="Mars"/>
      <sheetName val="Avril"/>
      <sheetName val="Mai"/>
      <sheetName val="Mai complément"/>
      <sheetName val="Juin"/>
      <sheetName val="Juillet"/>
      <sheetName val="Août erroné"/>
      <sheetName val="Août corrigé"/>
      <sheetName val="Septembre"/>
      <sheetName val="Octobre"/>
      <sheetName val="Novembre"/>
      <sheetName val="Décembre"/>
      <sheetName val="Agents"/>
      <sheetName val="jours fériés 2024"/>
      <sheetName val="convertisseur temps en 100ème"/>
      <sheetName val="n° semaine"/>
      <sheetName val="Listes"/>
      <sheetName val="param dates"/>
      <sheetName val="jours fériés en cou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217"/>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GALLIANI Julie (Acoss)" id="{4779DBA7-9F56-46FA-B033-967CAE1E3439}" userId="S::julie.galliani@acoss.fr::65a6c11c-203f-4055-9e37-233316cc13e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4" dT="2024-11-06T15:38:45.66" personId="{4779DBA7-9F56-46FA-B033-967CAE1E3439}" id="{D52DF0DB-C8CD-4E49-AC79-3B7D989A81E6}">
    <text>Ajouter des gardes fous</text>
  </threadedComment>
  <threadedComment ref="F14" dT="2024-11-12T08:25:24.94" personId="{4779DBA7-9F56-46FA-B033-967CAE1E3439}" id="{33A83F7F-FF4D-4B99-873D-1A15F99FCDA6}" parentId="{D52DF0DB-C8CD-4E49-AC79-3B7D989A81E6}">
    <text>Bloquer à 24h</text>
  </threadedComment>
  <threadedComment ref="G14" dT="2024-11-12T08:27:58.97" personId="{4779DBA7-9F56-46FA-B033-967CAE1E3439}" id="{76505FE9-47EA-4B88-ACEE-5A3DE42BE6CF}">
    <text>Identique à la colonne Réintégration temps (1)</text>
  </threadedComment>
  <threadedComment ref="H14" dT="2024-11-12T08:26:53.64" personId="{4779DBA7-9F56-46FA-B033-967CAE1E3439}" id="{4170225A-C4A2-48B6-8A79-3D56F0CC7B19}">
    <text>La saisie de ce champ ne doit pas être supérieur à la présence théorique jour</text>
  </threadedComment>
  <threadedComment ref="H14" dT="2024-11-12T08:27:02.83" personId="{4779DBA7-9F56-46FA-B033-967CAE1E3439}" id="{4DBE6CF7-4806-452F-B2AD-43A964C72010}" parentId="{4170225A-C4A2-48B6-8A79-3D56F0CC7B19}">
    <text>Prés. théo. jour</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
  <sheetViews>
    <sheetView workbookViewId="0">
      <selection activeCell="E9" sqref="E9"/>
    </sheetView>
  </sheetViews>
  <sheetFormatPr defaultColWidth="11.42578125" defaultRowHeight="12.75" outlineLevelRow="3"/>
  <cols>
    <col min="1" max="1" width="42.7109375" bestFit="1" customWidth="1"/>
    <col min="2" max="2" width="32.28515625" customWidth="1"/>
    <col min="3" max="3" width="17.7109375" customWidth="1"/>
    <col min="4" max="4" width="11.28515625" bestFit="1" customWidth="1"/>
    <col min="5" max="5" width="13.85546875" bestFit="1" customWidth="1"/>
    <col min="6" max="6" width="5.28515625" customWidth="1"/>
    <col min="7" max="9" width="6.42578125" customWidth="1"/>
    <col min="10" max="11" width="18.85546875" customWidth="1"/>
    <col min="12" max="256" width="9.140625" customWidth="1"/>
  </cols>
  <sheetData>
    <row r="1" spans="1:11">
      <c r="A1" s="1" t="s">
        <v>0</v>
      </c>
    </row>
    <row r="2" spans="1:11" ht="16.5">
      <c r="A2" s="2" t="s">
        <v>1</v>
      </c>
    </row>
    <row r="3" spans="1:11">
      <c r="A3" s="3" t="s">
        <v>2</v>
      </c>
    </row>
    <row r="4" spans="1:11">
      <c r="A4" s="3" t="s">
        <v>3</v>
      </c>
    </row>
    <row r="5" spans="1:11">
      <c r="A5" s="4" t="s">
        <v>4</v>
      </c>
    </row>
    <row r="6" spans="1:11" ht="15.4" customHeight="1">
      <c r="A6" s="114" t="s">
        <v>5</v>
      </c>
      <c r="B6" s="115"/>
      <c r="C6" s="115"/>
      <c r="D6" s="115"/>
      <c r="E6" s="115"/>
      <c r="F6" s="115"/>
      <c r="G6" s="115"/>
      <c r="H6" s="115"/>
      <c r="I6" s="115"/>
      <c r="J6" s="115"/>
      <c r="K6" s="115"/>
    </row>
    <row r="7" spans="1:11" ht="15.4" customHeight="1" outlineLevel="1">
      <c r="A7" s="114" t="s">
        <v>6</v>
      </c>
      <c r="B7" s="115"/>
      <c r="C7" s="115"/>
      <c r="D7" s="115"/>
      <c r="E7" s="115"/>
      <c r="F7" s="115"/>
      <c r="G7" s="115"/>
      <c r="H7" s="115"/>
      <c r="I7" s="115"/>
      <c r="J7" s="115"/>
      <c r="K7" s="115"/>
    </row>
    <row r="8" spans="1:11" ht="15.4" customHeight="1" outlineLevel="2">
      <c r="A8" s="114" t="s">
        <v>7</v>
      </c>
      <c r="B8" s="115"/>
      <c r="C8" s="115"/>
      <c r="D8" s="115"/>
      <c r="E8" s="115"/>
      <c r="F8" s="115"/>
      <c r="G8" s="115"/>
      <c r="H8" s="115"/>
      <c r="I8" s="115"/>
      <c r="J8" s="115"/>
      <c r="K8" s="115"/>
    </row>
    <row r="9" spans="1:11" outlineLevel="3">
      <c r="A9" s="6" t="s">
        <v>8</v>
      </c>
      <c r="B9" s="6" t="s">
        <v>9</v>
      </c>
      <c r="C9" s="6" t="s">
        <v>10</v>
      </c>
      <c r="D9" s="6" t="s">
        <v>11</v>
      </c>
      <c r="E9" s="6" t="s">
        <v>12</v>
      </c>
      <c r="F9" s="6" t="s">
        <v>13</v>
      </c>
      <c r="G9" s="6" t="s">
        <v>14</v>
      </c>
      <c r="H9" s="6" t="s">
        <v>15</v>
      </c>
      <c r="I9" s="6" t="s">
        <v>16</v>
      </c>
      <c r="J9" s="6" t="s">
        <v>17</v>
      </c>
      <c r="K9" s="6" t="s">
        <v>18</v>
      </c>
    </row>
    <row r="10" spans="1:11" outlineLevel="3">
      <c r="A10" s="7">
        <v>45334</v>
      </c>
      <c r="B10" s="8" t="s">
        <v>19</v>
      </c>
      <c r="C10" s="8" t="s">
        <v>19</v>
      </c>
      <c r="D10" s="9">
        <v>7.3</v>
      </c>
      <c r="E10" s="9">
        <v>7.3</v>
      </c>
      <c r="F10" s="9">
        <v>8</v>
      </c>
      <c r="G10" s="9">
        <v>-0.7</v>
      </c>
      <c r="H10" s="9">
        <v>-0.95</v>
      </c>
      <c r="I10" s="9">
        <v>5.33</v>
      </c>
      <c r="J10" s="10" t="s">
        <v>20</v>
      </c>
      <c r="K10" s="10" t="s">
        <v>20</v>
      </c>
    </row>
    <row r="11" spans="1:11" outlineLevel="3">
      <c r="A11" s="7">
        <v>45335</v>
      </c>
      <c r="B11" s="8" t="s">
        <v>21</v>
      </c>
      <c r="C11" s="8" t="s">
        <v>21</v>
      </c>
      <c r="D11" s="9">
        <v>6.9</v>
      </c>
      <c r="E11" s="9">
        <v>6.9</v>
      </c>
      <c r="F11" s="9">
        <v>8</v>
      </c>
      <c r="G11" s="9">
        <v>-1.1000000000000001</v>
      </c>
      <c r="H11" s="9">
        <v>-2.0499999999999998</v>
      </c>
      <c r="I11" s="9">
        <v>4.2300000000000004</v>
      </c>
      <c r="J11" s="10" t="s">
        <v>20</v>
      </c>
      <c r="K11" s="10" t="s">
        <v>20</v>
      </c>
    </row>
    <row r="12" spans="1:11" outlineLevel="3">
      <c r="A12" s="7">
        <v>45336</v>
      </c>
      <c r="B12" s="8" t="s">
        <v>22</v>
      </c>
      <c r="C12" s="8" t="s">
        <v>22</v>
      </c>
      <c r="D12" s="9">
        <v>4.78</v>
      </c>
      <c r="E12" s="9">
        <v>4.78</v>
      </c>
      <c r="F12" s="9">
        <v>4</v>
      </c>
      <c r="G12" s="9">
        <v>0.78</v>
      </c>
      <c r="H12" s="9">
        <v>-1.27</v>
      </c>
      <c r="I12" s="9">
        <v>5.0199999999999996</v>
      </c>
      <c r="J12" s="10" t="s">
        <v>20</v>
      </c>
      <c r="K12" s="10" t="s">
        <v>20</v>
      </c>
    </row>
    <row r="13" spans="1:11" outlineLevel="3">
      <c r="A13" s="7">
        <v>45337</v>
      </c>
      <c r="B13" s="8" t="s">
        <v>23</v>
      </c>
      <c r="C13" s="8" t="s">
        <v>24</v>
      </c>
      <c r="D13" s="9">
        <v>9.18</v>
      </c>
      <c r="E13" s="9">
        <v>9.18</v>
      </c>
      <c r="F13" s="9">
        <v>8</v>
      </c>
      <c r="G13" s="9">
        <v>1.18</v>
      </c>
      <c r="H13" s="9">
        <v>-0.08</v>
      </c>
      <c r="I13" s="9">
        <v>6.2</v>
      </c>
      <c r="J13" s="10" t="s">
        <v>20</v>
      </c>
      <c r="K13" s="10" t="s">
        <v>20</v>
      </c>
    </row>
    <row r="14" spans="1:11" outlineLevel="3">
      <c r="A14" s="7">
        <v>45338</v>
      </c>
      <c r="B14" s="8" t="s">
        <v>25</v>
      </c>
      <c r="C14" s="8" t="s">
        <v>25</v>
      </c>
      <c r="D14" s="9">
        <v>7.23</v>
      </c>
      <c r="E14" s="9">
        <v>7.23</v>
      </c>
      <c r="F14" s="9">
        <v>8</v>
      </c>
      <c r="G14" s="9">
        <v>-0.77</v>
      </c>
      <c r="H14" s="9">
        <v>-0.85</v>
      </c>
      <c r="I14" s="9">
        <v>5.43</v>
      </c>
      <c r="J14" s="10" t="s">
        <v>20</v>
      </c>
      <c r="K14" s="10" t="s">
        <v>20</v>
      </c>
    </row>
    <row r="15" spans="1:11" outlineLevel="3">
      <c r="A15" s="7">
        <v>45339</v>
      </c>
      <c r="B15" s="11"/>
      <c r="C15" s="11"/>
      <c r="D15" s="9">
        <v>0</v>
      </c>
      <c r="E15" s="9">
        <v>0</v>
      </c>
      <c r="F15" s="9">
        <v>0</v>
      </c>
      <c r="G15" s="9">
        <v>0</v>
      </c>
      <c r="H15" s="9">
        <v>-0.85</v>
      </c>
      <c r="I15" s="9">
        <v>5.43</v>
      </c>
      <c r="J15" s="10" t="s">
        <v>20</v>
      </c>
      <c r="K15" s="10" t="s">
        <v>20</v>
      </c>
    </row>
    <row r="16" spans="1:11" outlineLevel="3">
      <c r="A16" s="7">
        <v>45340</v>
      </c>
      <c r="B16" s="11"/>
      <c r="C16" s="11"/>
      <c r="D16" s="9">
        <v>0</v>
      </c>
      <c r="E16" s="9">
        <v>0</v>
      </c>
      <c r="F16" s="9">
        <v>0</v>
      </c>
      <c r="G16" s="9">
        <v>0</v>
      </c>
      <c r="H16" s="9">
        <v>-0.85</v>
      </c>
      <c r="I16" s="9">
        <v>5.43</v>
      </c>
      <c r="J16" s="10" t="s">
        <v>20</v>
      </c>
      <c r="K16" s="10" t="s">
        <v>20</v>
      </c>
    </row>
    <row r="17" spans="1:11" outlineLevel="3">
      <c r="A17" s="12" t="s">
        <v>26</v>
      </c>
      <c r="B17" s="12"/>
      <c r="C17" s="12"/>
      <c r="D17" s="13">
        <v>35.4</v>
      </c>
      <c r="E17" s="13">
        <v>35.4</v>
      </c>
      <c r="F17" s="13">
        <v>36</v>
      </c>
      <c r="G17" s="12"/>
      <c r="H17" s="12"/>
      <c r="I17" s="12"/>
      <c r="J17" s="12"/>
      <c r="K17" s="12"/>
    </row>
    <row r="18" spans="1:11" outlineLevel="3">
      <c r="A18" s="5" t="s">
        <v>20</v>
      </c>
      <c r="B18" s="5"/>
      <c r="C18" s="5"/>
      <c r="D18" s="5"/>
      <c r="E18" s="5"/>
      <c r="F18" s="5"/>
      <c r="G18" s="5"/>
      <c r="H18" s="5"/>
      <c r="I18" s="5"/>
      <c r="J18" s="5"/>
      <c r="K18" s="5"/>
    </row>
    <row r="19" spans="1:11" outlineLevel="2">
      <c r="A19" s="12" t="s">
        <v>27</v>
      </c>
      <c r="B19" s="5"/>
      <c r="C19" s="5"/>
      <c r="D19" s="9">
        <v>35.4</v>
      </c>
      <c r="E19" s="9">
        <v>35.4</v>
      </c>
      <c r="F19" s="9">
        <v>36</v>
      </c>
      <c r="G19" s="5"/>
      <c r="H19" s="5"/>
      <c r="I19" s="5"/>
      <c r="J19" s="5"/>
      <c r="K19" s="5"/>
    </row>
    <row r="20" spans="1:11" outlineLevel="1">
      <c r="A20" s="12" t="s">
        <v>28</v>
      </c>
      <c r="B20" s="5"/>
      <c r="C20" s="5"/>
      <c r="D20" s="9">
        <v>35.4</v>
      </c>
      <c r="E20" s="9">
        <v>35.4</v>
      </c>
      <c r="F20" s="9">
        <v>36</v>
      </c>
      <c r="G20" s="5"/>
      <c r="H20" s="5"/>
      <c r="I20" s="5"/>
      <c r="J20" s="5"/>
      <c r="K20" s="5"/>
    </row>
    <row r="21" spans="1:11">
      <c r="A21" s="12" t="s">
        <v>29</v>
      </c>
      <c r="B21" s="5"/>
      <c r="C21" s="5"/>
      <c r="D21" s="9">
        <v>35.4</v>
      </c>
      <c r="E21" s="9">
        <v>35.4</v>
      </c>
      <c r="F21" s="9">
        <v>36</v>
      </c>
      <c r="G21" s="5"/>
      <c r="H21" s="5"/>
      <c r="I21" s="5"/>
      <c r="J21" s="5"/>
      <c r="K21" s="5"/>
    </row>
    <row r="22" spans="1:11">
      <c r="A22" s="14"/>
      <c r="B22" s="15" t="s">
        <v>30</v>
      </c>
      <c r="C22" s="16" t="s">
        <v>31</v>
      </c>
    </row>
  </sheetData>
  <mergeCells count="3">
    <mergeCell ref="A6:K6"/>
    <mergeCell ref="A7:K7"/>
    <mergeCell ref="A8:K8"/>
  </mergeCells>
  <pageMargins left="0.49212598425196852" right="0.49212598425196852" top="0.89370078740157477" bottom="0.89370078740157477" header="0.5" footer="0.5"/>
  <pageSetup paperSize="9"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E3D83-836B-4E81-ABB4-69F4A46DD2A8}">
  <dimension ref="A1:K22"/>
  <sheetViews>
    <sheetView zoomScale="120" zoomScaleNormal="120" workbookViewId="0">
      <selection activeCell="G10" sqref="G10:G16"/>
    </sheetView>
  </sheetViews>
  <sheetFormatPr defaultColWidth="11.42578125" defaultRowHeight="12.75" outlineLevelRow="3"/>
  <cols>
    <col min="1" max="1" width="42.7109375" style="35" bestFit="1" customWidth="1"/>
    <col min="2" max="3" width="23.5703125" style="35" bestFit="1" customWidth="1"/>
    <col min="4" max="4" width="11.28515625" style="35" bestFit="1" customWidth="1"/>
    <col min="5" max="5" width="13.85546875" style="35" bestFit="1" customWidth="1"/>
    <col min="6" max="6" width="12.42578125" style="35" bestFit="1" customWidth="1"/>
    <col min="7" max="7" width="7.5703125" style="35" bestFit="1" customWidth="1"/>
    <col min="8" max="8" width="9.5703125" style="35" bestFit="1" customWidth="1"/>
    <col min="9" max="9" width="8" style="35" bestFit="1" customWidth="1"/>
    <col min="10" max="10" width="19.140625" style="35" bestFit="1" customWidth="1"/>
    <col min="11" max="11" width="8.85546875" style="35" bestFit="1" customWidth="1"/>
    <col min="12" max="256" width="9.140625" style="35" customWidth="1"/>
    <col min="257" max="257" width="62" style="35" customWidth="1"/>
    <col min="258" max="258" width="32.28515625" style="35" customWidth="1"/>
    <col min="259" max="259" width="11.85546875" style="35" customWidth="1"/>
    <col min="260" max="262" width="5.28515625" style="35" customWidth="1"/>
    <col min="263" max="265" width="6.42578125" style="35" customWidth="1"/>
    <col min="266" max="267" width="18.85546875" style="35" customWidth="1"/>
    <col min="268" max="512" width="9.140625" style="35" customWidth="1"/>
    <col min="513" max="513" width="62" style="35" customWidth="1"/>
    <col min="514" max="514" width="32.28515625" style="35" customWidth="1"/>
    <col min="515" max="515" width="11.85546875" style="35" customWidth="1"/>
    <col min="516" max="518" width="5.28515625" style="35" customWidth="1"/>
    <col min="519" max="521" width="6.42578125" style="35" customWidth="1"/>
    <col min="522" max="523" width="18.85546875" style="35" customWidth="1"/>
    <col min="524" max="768" width="9.140625" style="35" customWidth="1"/>
    <col min="769" max="769" width="62" style="35" customWidth="1"/>
    <col min="770" max="770" width="32.28515625" style="35" customWidth="1"/>
    <col min="771" max="771" width="11.85546875" style="35" customWidth="1"/>
    <col min="772" max="774" width="5.28515625" style="35" customWidth="1"/>
    <col min="775" max="777" width="6.42578125" style="35" customWidth="1"/>
    <col min="778" max="779" width="18.85546875" style="35" customWidth="1"/>
    <col min="780" max="1024" width="9.140625" style="35" customWidth="1"/>
    <col min="1025" max="1025" width="62" style="35" customWidth="1"/>
    <col min="1026" max="1026" width="32.28515625" style="35" customWidth="1"/>
    <col min="1027" max="1027" width="11.85546875" style="35" customWidth="1"/>
    <col min="1028" max="1030" width="5.28515625" style="35" customWidth="1"/>
    <col min="1031" max="1033" width="6.42578125" style="35" customWidth="1"/>
    <col min="1034" max="1035" width="18.85546875" style="35" customWidth="1"/>
    <col min="1036" max="1280" width="9.140625" style="35" customWidth="1"/>
    <col min="1281" max="1281" width="62" style="35" customWidth="1"/>
    <col min="1282" max="1282" width="32.28515625" style="35" customWidth="1"/>
    <col min="1283" max="1283" width="11.85546875" style="35" customWidth="1"/>
    <col min="1284" max="1286" width="5.28515625" style="35" customWidth="1"/>
    <col min="1287" max="1289" width="6.42578125" style="35" customWidth="1"/>
    <col min="1290" max="1291" width="18.85546875" style="35" customWidth="1"/>
    <col min="1292" max="1536" width="9.140625" style="35" customWidth="1"/>
    <col min="1537" max="1537" width="62" style="35" customWidth="1"/>
    <col min="1538" max="1538" width="32.28515625" style="35" customWidth="1"/>
    <col min="1539" max="1539" width="11.85546875" style="35" customWidth="1"/>
    <col min="1540" max="1542" width="5.28515625" style="35" customWidth="1"/>
    <col min="1543" max="1545" width="6.42578125" style="35" customWidth="1"/>
    <col min="1546" max="1547" width="18.85546875" style="35" customWidth="1"/>
    <col min="1548" max="1792" width="9.140625" style="35" customWidth="1"/>
    <col min="1793" max="1793" width="62" style="35" customWidth="1"/>
    <col min="1794" max="1794" width="32.28515625" style="35" customWidth="1"/>
    <col min="1795" max="1795" width="11.85546875" style="35" customWidth="1"/>
    <col min="1796" max="1798" width="5.28515625" style="35" customWidth="1"/>
    <col min="1799" max="1801" width="6.42578125" style="35" customWidth="1"/>
    <col min="1802" max="1803" width="18.85546875" style="35" customWidth="1"/>
    <col min="1804" max="2048" width="9.140625" style="35" customWidth="1"/>
    <col min="2049" max="2049" width="62" style="35" customWidth="1"/>
    <col min="2050" max="2050" width="32.28515625" style="35" customWidth="1"/>
    <col min="2051" max="2051" width="11.85546875" style="35" customWidth="1"/>
    <col min="2052" max="2054" width="5.28515625" style="35" customWidth="1"/>
    <col min="2055" max="2057" width="6.42578125" style="35" customWidth="1"/>
    <col min="2058" max="2059" width="18.85546875" style="35" customWidth="1"/>
    <col min="2060" max="2304" width="9.140625" style="35" customWidth="1"/>
    <col min="2305" max="2305" width="62" style="35" customWidth="1"/>
    <col min="2306" max="2306" width="32.28515625" style="35" customWidth="1"/>
    <col min="2307" max="2307" width="11.85546875" style="35" customWidth="1"/>
    <col min="2308" max="2310" width="5.28515625" style="35" customWidth="1"/>
    <col min="2311" max="2313" width="6.42578125" style="35" customWidth="1"/>
    <col min="2314" max="2315" width="18.85546875" style="35" customWidth="1"/>
    <col min="2316" max="2560" width="9.140625" style="35" customWidth="1"/>
    <col min="2561" max="2561" width="62" style="35" customWidth="1"/>
    <col min="2562" max="2562" width="32.28515625" style="35" customWidth="1"/>
    <col min="2563" max="2563" width="11.85546875" style="35" customWidth="1"/>
    <col min="2564" max="2566" width="5.28515625" style="35" customWidth="1"/>
    <col min="2567" max="2569" width="6.42578125" style="35" customWidth="1"/>
    <col min="2570" max="2571" width="18.85546875" style="35" customWidth="1"/>
    <col min="2572" max="2816" width="9.140625" style="35" customWidth="1"/>
    <col min="2817" max="2817" width="62" style="35" customWidth="1"/>
    <col min="2818" max="2818" width="32.28515625" style="35" customWidth="1"/>
    <col min="2819" max="2819" width="11.85546875" style="35" customWidth="1"/>
    <col min="2820" max="2822" width="5.28515625" style="35" customWidth="1"/>
    <col min="2823" max="2825" width="6.42578125" style="35" customWidth="1"/>
    <col min="2826" max="2827" width="18.85546875" style="35" customWidth="1"/>
    <col min="2828" max="3072" width="9.140625" style="35" customWidth="1"/>
    <col min="3073" max="3073" width="62" style="35" customWidth="1"/>
    <col min="3074" max="3074" width="32.28515625" style="35" customWidth="1"/>
    <col min="3075" max="3075" width="11.85546875" style="35" customWidth="1"/>
    <col min="3076" max="3078" width="5.28515625" style="35" customWidth="1"/>
    <col min="3079" max="3081" width="6.42578125" style="35" customWidth="1"/>
    <col min="3082" max="3083" width="18.85546875" style="35" customWidth="1"/>
    <col min="3084" max="3328" width="9.140625" style="35" customWidth="1"/>
    <col min="3329" max="3329" width="62" style="35" customWidth="1"/>
    <col min="3330" max="3330" width="32.28515625" style="35" customWidth="1"/>
    <col min="3331" max="3331" width="11.85546875" style="35" customWidth="1"/>
    <col min="3332" max="3334" width="5.28515625" style="35" customWidth="1"/>
    <col min="3335" max="3337" width="6.42578125" style="35" customWidth="1"/>
    <col min="3338" max="3339" width="18.85546875" style="35" customWidth="1"/>
    <col min="3340" max="3584" width="9.140625" style="35" customWidth="1"/>
    <col min="3585" max="3585" width="62" style="35" customWidth="1"/>
    <col min="3586" max="3586" width="32.28515625" style="35" customWidth="1"/>
    <col min="3587" max="3587" width="11.85546875" style="35" customWidth="1"/>
    <col min="3588" max="3590" width="5.28515625" style="35" customWidth="1"/>
    <col min="3591" max="3593" width="6.42578125" style="35" customWidth="1"/>
    <col min="3594" max="3595" width="18.85546875" style="35" customWidth="1"/>
    <col min="3596" max="3840" width="9.140625" style="35" customWidth="1"/>
    <col min="3841" max="3841" width="62" style="35" customWidth="1"/>
    <col min="3842" max="3842" width="32.28515625" style="35" customWidth="1"/>
    <col min="3843" max="3843" width="11.85546875" style="35" customWidth="1"/>
    <col min="3844" max="3846" width="5.28515625" style="35" customWidth="1"/>
    <col min="3847" max="3849" width="6.42578125" style="35" customWidth="1"/>
    <col min="3850" max="3851" width="18.85546875" style="35" customWidth="1"/>
    <col min="3852" max="4096" width="9.140625" style="35" customWidth="1"/>
    <col min="4097" max="4097" width="62" style="35" customWidth="1"/>
    <col min="4098" max="4098" width="32.28515625" style="35" customWidth="1"/>
    <col min="4099" max="4099" width="11.85546875" style="35" customWidth="1"/>
    <col min="4100" max="4102" width="5.28515625" style="35" customWidth="1"/>
    <col min="4103" max="4105" width="6.42578125" style="35" customWidth="1"/>
    <col min="4106" max="4107" width="18.85546875" style="35" customWidth="1"/>
    <col min="4108" max="4352" width="9.140625" style="35" customWidth="1"/>
    <col min="4353" max="4353" width="62" style="35" customWidth="1"/>
    <col min="4354" max="4354" width="32.28515625" style="35" customWidth="1"/>
    <col min="4355" max="4355" width="11.85546875" style="35" customWidth="1"/>
    <col min="4356" max="4358" width="5.28515625" style="35" customWidth="1"/>
    <col min="4359" max="4361" width="6.42578125" style="35" customWidth="1"/>
    <col min="4362" max="4363" width="18.85546875" style="35" customWidth="1"/>
    <col min="4364" max="4608" width="9.140625" style="35" customWidth="1"/>
    <col min="4609" max="4609" width="62" style="35" customWidth="1"/>
    <col min="4610" max="4610" width="32.28515625" style="35" customWidth="1"/>
    <col min="4611" max="4611" width="11.85546875" style="35" customWidth="1"/>
    <col min="4612" max="4614" width="5.28515625" style="35" customWidth="1"/>
    <col min="4615" max="4617" width="6.42578125" style="35" customWidth="1"/>
    <col min="4618" max="4619" width="18.85546875" style="35" customWidth="1"/>
    <col min="4620" max="4864" width="9.140625" style="35" customWidth="1"/>
    <col min="4865" max="4865" width="62" style="35" customWidth="1"/>
    <col min="4866" max="4866" width="32.28515625" style="35" customWidth="1"/>
    <col min="4867" max="4867" width="11.85546875" style="35" customWidth="1"/>
    <col min="4868" max="4870" width="5.28515625" style="35" customWidth="1"/>
    <col min="4871" max="4873" width="6.42578125" style="35" customWidth="1"/>
    <col min="4874" max="4875" width="18.85546875" style="35" customWidth="1"/>
    <col min="4876" max="5120" width="9.140625" style="35" customWidth="1"/>
    <col min="5121" max="5121" width="62" style="35" customWidth="1"/>
    <col min="5122" max="5122" width="32.28515625" style="35" customWidth="1"/>
    <col min="5123" max="5123" width="11.85546875" style="35" customWidth="1"/>
    <col min="5124" max="5126" width="5.28515625" style="35" customWidth="1"/>
    <col min="5127" max="5129" width="6.42578125" style="35" customWidth="1"/>
    <col min="5130" max="5131" width="18.85546875" style="35" customWidth="1"/>
    <col min="5132" max="5376" width="9.140625" style="35" customWidth="1"/>
    <col min="5377" max="5377" width="62" style="35" customWidth="1"/>
    <col min="5378" max="5378" width="32.28515625" style="35" customWidth="1"/>
    <col min="5379" max="5379" width="11.85546875" style="35" customWidth="1"/>
    <col min="5380" max="5382" width="5.28515625" style="35" customWidth="1"/>
    <col min="5383" max="5385" width="6.42578125" style="35" customWidth="1"/>
    <col min="5386" max="5387" width="18.85546875" style="35" customWidth="1"/>
    <col min="5388" max="5632" width="9.140625" style="35" customWidth="1"/>
    <col min="5633" max="5633" width="62" style="35" customWidth="1"/>
    <col min="5634" max="5634" width="32.28515625" style="35" customWidth="1"/>
    <col min="5635" max="5635" width="11.85546875" style="35" customWidth="1"/>
    <col min="5636" max="5638" width="5.28515625" style="35" customWidth="1"/>
    <col min="5639" max="5641" width="6.42578125" style="35" customWidth="1"/>
    <col min="5642" max="5643" width="18.85546875" style="35" customWidth="1"/>
    <col min="5644" max="5888" width="9.140625" style="35" customWidth="1"/>
    <col min="5889" max="5889" width="62" style="35" customWidth="1"/>
    <col min="5890" max="5890" width="32.28515625" style="35" customWidth="1"/>
    <col min="5891" max="5891" width="11.85546875" style="35" customWidth="1"/>
    <col min="5892" max="5894" width="5.28515625" style="35" customWidth="1"/>
    <col min="5895" max="5897" width="6.42578125" style="35" customWidth="1"/>
    <col min="5898" max="5899" width="18.85546875" style="35" customWidth="1"/>
    <col min="5900" max="6144" width="9.140625" style="35" customWidth="1"/>
    <col min="6145" max="6145" width="62" style="35" customWidth="1"/>
    <col min="6146" max="6146" width="32.28515625" style="35" customWidth="1"/>
    <col min="6147" max="6147" width="11.85546875" style="35" customWidth="1"/>
    <col min="6148" max="6150" width="5.28515625" style="35" customWidth="1"/>
    <col min="6151" max="6153" width="6.42578125" style="35" customWidth="1"/>
    <col min="6154" max="6155" width="18.85546875" style="35" customWidth="1"/>
    <col min="6156" max="6400" width="9.140625" style="35" customWidth="1"/>
    <col min="6401" max="6401" width="62" style="35" customWidth="1"/>
    <col min="6402" max="6402" width="32.28515625" style="35" customWidth="1"/>
    <col min="6403" max="6403" width="11.85546875" style="35" customWidth="1"/>
    <col min="6404" max="6406" width="5.28515625" style="35" customWidth="1"/>
    <col min="6407" max="6409" width="6.42578125" style="35" customWidth="1"/>
    <col min="6410" max="6411" width="18.85546875" style="35" customWidth="1"/>
    <col min="6412" max="6656" width="9.140625" style="35" customWidth="1"/>
    <col min="6657" max="6657" width="62" style="35" customWidth="1"/>
    <col min="6658" max="6658" width="32.28515625" style="35" customWidth="1"/>
    <col min="6659" max="6659" width="11.85546875" style="35" customWidth="1"/>
    <col min="6660" max="6662" width="5.28515625" style="35" customWidth="1"/>
    <col min="6663" max="6665" width="6.42578125" style="35" customWidth="1"/>
    <col min="6666" max="6667" width="18.85546875" style="35" customWidth="1"/>
    <col min="6668" max="6912" width="9.140625" style="35" customWidth="1"/>
    <col min="6913" max="6913" width="62" style="35" customWidth="1"/>
    <col min="6914" max="6914" width="32.28515625" style="35" customWidth="1"/>
    <col min="6915" max="6915" width="11.85546875" style="35" customWidth="1"/>
    <col min="6916" max="6918" width="5.28515625" style="35" customWidth="1"/>
    <col min="6919" max="6921" width="6.42578125" style="35" customWidth="1"/>
    <col min="6922" max="6923" width="18.85546875" style="35" customWidth="1"/>
    <col min="6924" max="7168" width="9.140625" style="35" customWidth="1"/>
    <col min="7169" max="7169" width="62" style="35" customWidth="1"/>
    <col min="7170" max="7170" width="32.28515625" style="35" customWidth="1"/>
    <col min="7171" max="7171" width="11.85546875" style="35" customWidth="1"/>
    <col min="7172" max="7174" width="5.28515625" style="35" customWidth="1"/>
    <col min="7175" max="7177" width="6.42578125" style="35" customWidth="1"/>
    <col min="7178" max="7179" width="18.85546875" style="35" customWidth="1"/>
    <col min="7180" max="7424" width="9.140625" style="35" customWidth="1"/>
    <col min="7425" max="7425" width="62" style="35" customWidth="1"/>
    <col min="7426" max="7426" width="32.28515625" style="35" customWidth="1"/>
    <col min="7427" max="7427" width="11.85546875" style="35" customWidth="1"/>
    <col min="7428" max="7430" width="5.28515625" style="35" customWidth="1"/>
    <col min="7431" max="7433" width="6.42578125" style="35" customWidth="1"/>
    <col min="7434" max="7435" width="18.85546875" style="35" customWidth="1"/>
    <col min="7436" max="7680" width="9.140625" style="35" customWidth="1"/>
    <col min="7681" max="7681" width="62" style="35" customWidth="1"/>
    <col min="7682" max="7682" width="32.28515625" style="35" customWidth="1"/>
    <col min="7683" max="7683" width="11.85546875" style="35" customWidth="1"/>
    <col min="7684" max="7686" width="5.28515625" style="35" customWidth="1"/>
    <col min="7687" max="7689" width="6.42578125" style="35" customWidth="1"/>
    <col min="7690" max="7691" width="18.85546875" style="35" customWidth="1"/>
    <col min="7692" max="7936" width="9.140625" style="35" customWidth="1"/>
    <col min="7937" max="7937" width="62" style="35" customWidth="1"/>
    <col min="7938" max="7938" width="32.28515625" style="35" customWidth="1"/>
    <col min="7939" max="7939" width="11.85546875" style="35" customWidth="1"/>
    <col min="7940" max="7942" width="5.28515625" style="35" customWidth="1"/>
    <col min="7943" max="7945" width="6.42578125" style="35" customWidth="1"/>
    <col min="7946" max="7947" width="18.85546875" style="35" customWidth="1"/>
    <col min="7948" max="8192" width="9.140625" style="35" customWidth="1"/>
    <col min="8193" max="8193" width="62" style="35" customWidth="1"/>
    <col min="8194" max="8194" width="32.28515625" style="35" customWidth="1"/>
    <col min="8195" max="8195" width="11.85546875" style="35" customWidth="1"/>
    <col min="8196" max="8198" width="5.28515625" style="35" customWidth="1"/>
    <col min="8199" max="8201" width="6.42578125" style="35" customWidth="1"/>
    <col min="8202" max="8203" width="18.85546875" style="35" customWidth="1"/>
    <col min="8204" max="8448" width="9.140625" style="35" customWidth="1"/>
    <col min="8449" max="8449" width="62" style="35" customWidth="1"/>
    <col min="8450" max="8450" width="32.28515625" style="35" customWidth="1"/>
    <col min="8451" max="8451" width="11.85546875" style="35" customWidth="1"/>
    <col min="8452" max="8454" width="5.28515625" style="35" customWidth="1"/>
    <col min="8455" max="8457" width="6.42578125" style="35" customWidth="1"/>
    <col min="8458" max="8459" width="18.85546875" style="35" customWidth="1"/>
    <col min="8460" max="8704" width="9.140625" style="35" customWidth="1"/>
    <col min="8705" max="8705" width="62" style="35" customWidth="1"/>
    <col min="8706" max="8706" width="32.28515625" style="35" customWidth="1"/>
    <col min="8707" max="8707" width="11.85546875" style="35" customWidth="1"/>
    <col min="8708" max="8710" width="5.28515625" style="35" customWidth="1"/>
    <col min="8711" max="8713" width="6.42578125" style="35" customWidth="1"/>
    <col min="8714" max="8715" width="18.85546875" style="35" customWidth="1"/>
    <col min="8716" max="8960" width="9.140625" style="35" customWidth="1"/>
    <col min="8961" max="8961" width="62" style="35" customWidth="1"/>
    <col min="8962" max="8962" width="32.28515625" style="35" customWidth="1"/>
    <col min="8963" max="8963" width="11.85546875" style="35" customWidth="1"/>
    <col min="8964" max="8966" width="5.28515625" style="35" customWidth="1"/>
    <col min="8967" max="8969" width="6.42578125" style="35" customWidth="1"/>
    <col min="8970" max="8971" width="18.85546875" style="35" customWidth="1"/>
    <col min="8972" max="9216" width="9.140625" style="35" customWidth="1"/>
    <col min="9217" max="9217" width="62" style="35" customWidth="1"/>
    <col min="9218" max="9218" width="32.28515625" style="35" customWidth="1"/>
    <col min="9219" max="9219" width="11.85546875" style="35" customWidth="1"/>
    <col min="9220" max="9222" width="5.28515625" style="35" customWidth="1"/>
    <col min="9223" max="9225" width="6.42578125" style="35" customWidth="1"/>
    <col min="9226" max="9227" width="18.85546875" style="35" customWidth="1"/>
    <col min="9228" max="9472" width="9.140625" style="35" customWidth="1"/>
    <col min="9473" max="9473" width="62" style="35" customWidth="1"/>
    <col min="9474" max="9474" width="32.28515625" style="35" customWidth="1"/>
    <col min="9475" max="9475" width="11.85546875" style="35" customWidth="1"/>
    <col min="9476" max="9478" width="5.28515625" style="35" customWidth="1"/>
    <col min="9479" max="9481" width="6.42578125" style="35" customWidth="1"/>
    <col min="9482" max="9483" width="18.85546875" style="35" customWidth="1"/>
    <col min="9484" max="9728" width="9.140625" style="35" customWidth="1"/>
    <col min="9729" max="9729" width="62" style="35" customWidth="1"/>
    <col min="9730" max="9730" width="32.28515625" style="35" customWidth="1"/>
    <col min="9731" max="9731" width="11.85546875" style="35" customWidth="1"/>
    <col min="9732" max="9734" width="5.28515625" style="35" customWidth="1"/>
    <col min="9735" max="9737" width="6.42578125" style="35" customWidth="1"/>
    <col min="9738" max="9739" width="18.85546875" style="35" customWidth="1"/>
    <col min="9740" max="9984" width="9.140625" style="35" customWidth="1"/>
    <col min="9985" max="9985" width="62" style="35" customWidth="1"/>
    <col min="9986" max="9986" width="32.28515625" style="35" customWidth="1"/>
    <col min="9987" max="9987" width="11.85546875" style="35" customWidth="1"/>
    <col min="9988" max="9990" width="5.28515625" style="35" customWidth="1"/>
    <col min="9991" max="9993" width="6.42578125" style="35" customWidth="1"/>
    <col min="9994" max="9995" width="18.85546875" style="35" customWidth="1"/>
    <col min="9996" max="10240" width="9.140625" style="35" customWidth="1"/>
    <col min="10241" max="10241" width="62" style="35" customWidth="1"/>
    <col min="10242" max="10242" width="32.28515625" style="35" customWidth="1"/>
    <col min="10243" max="10243" width="11.85546875" style="35" customWidth="1"/>
    <col min="10244" max="10246" width="5.28515625" style="35" customWidth="1"/>
    <col min="10247" max="10249" width="6.42578125" style="35" customWidth="1"/>
    <col min="10250" max="10251" width="18.85546875" style="35" customWidth="1"/>
    <col min="10252" max="10496" width="9.140625" style="35" customWidth="1"/>
    <col min="10497" max="10497" width="62" style="35" customWidth="1"/>
    <col min="10498" max="10498" width="32.28515625" style="35" customWidth="1"/>
    <col min="10499" max="10499" width="11.85546875" style="35" customWidth="1"/>
    <col min="10500" max="10502" width="5.28515625" style="35" customWidth="1"/>
    <col min="10503" max="10505" width="6.42578125" style="35" customWidth="1"/>
    <col min="10506" max="10507" width="18.85546875" style="35" customWidth="1"/>
    <col min="10508" max="10752" width="9.140625" style="35" customWidth="1"/>
    <col min="10753" max="10753" width="62" style="35" customWidth="1"/>
    <col min="10754" max="10754" width="32.28515625" style="35" customWidth="1"/>
    <col min="10755" max="10755" width="11.85546875" style="35" customWidth="1"/>
    <col min="10756" max="10758" width="5.28515625" style="35" customWidth="1"/>
    <col min="10759" max="10761" width="6.42578125" style="35" customWidth="1"/>
    <col min="10762" max="10763" width="18.85546875" style="35" customWidth="1"/>
    <col min="10764" max="11008" width="9.140625" style="35" customWidth="1"/>
    <col min="11009" max="11009" width="62" style="35" customWidth="1"/>
    <col min="11010" max="11010" width="32.28515625" style="35" customWidth="1"/>
    <col min="11011" max="11011" width="11.85546875" style="35" customWidth="1"/>
    <col min="11012" max="11014" width="5.28515625" style="35" customWidth="1"/>
    <col min="11015" max="11017" width="6.42578125" style="35" customWidth="1"/>
    <col min="11018" max="11019" width="18.85546875" style="35" customWidth="1"/>
    <col min="11020" max="11264" width="9.140625" style="35" customWidth="1"/>
    <col min="11265" max="11265" width="62" style="35" customWidth="1"/>
    <col min="11266" max="11266" width="32.28515625" style="35" customWidth="1"/>
    <col min="11267" max="11267" width="11.85546875" style="35" customWidth="1"/>
    <col min="11268" max="11270" width="5.28515625" style="35" customWidth="1"/>
    <col min="11271" max="11273" width="6.42578125" style="35" customWidth="1"/>
    <col min="11274" max="11275" width="18.85546875" style="35" customWidth="1"/>
    <col min="11276" max="11520" width="9.140625" style="35" customWidth="1"/>
    <col min="11521" max="11521" width="62" style="35" customWidth="1"/>
    <col min="11522" max="11522" width="32.28515625" style="35" customWidth="1"/>
    <col min="11523" max="11523" width="11.85546875" style="35" customWidth="1"/>
    <col min="11524" max="11526" width="5.28515625" style="35" customWidth="1"/>
    <col min="11527" max="11529" width="6.42578125" style="35" customWidth="1"/>
    <col min="11530" max="11531" width="18.85546875" style="35" customWidth="1"/>
    <col min="11532" max="11776" width="9.140625" style="35" customWidth="1"/>
    <col min="11777" max="11777" width="62" style="35" customWidth="1"/>
    <col min="11778" max="11778" width="32.28515625" style="35" customWidth="1"/>
    <col min="11779" max="11779" width="11.85546875" style="35" customWidth="1"/>
    <col min="11780" max="11782" width="5.28515625" style="35" customWidth="1"/>
    <col min="11783" max="11785" width="6.42578125" style="35" customWidth="1"/>
    <col min="11786" max="11787" width="18.85546875" style="35" customWidth="1"/>
    <col min="11788" max="12032" width="9.140625" style="35" customWidth="1"/>
    <col min="12033" max="12033" width="62" style="35" customWidth="1"/>
    <col min="12034" max="12034" width="32.28515625" style="35" customWidth="1"/>
    <col min="12035" max="12035" width="11.85546875" style="35" customWidth="1"/>
    <col min="12036" max="12038" width="5.28515625" style="35" customWidth="1"/>
    <col min="12039" max="12041" width="6.42578125" style="35" customWidth="1"/>
    <col min="12042" max="12043" width="18.85546875" style="35" customWidth="1"/>
    <col min="12044" max="12288" width="9.140625" style="35" customWidth="1"/>
    <col min="12289" max="12289" width="62" style="35" customWidth="1"/>
    <col min="12290" max="12290" width="32.28515625" style="35" customWidth="1"/>
    <col min="12291" max="12291" width="11.85546875" style="35" customWidth="1"/>
    <col min="12292" max="12294" width="5.28515625" style="35" customWidth="1"/>
    <col min="12295" max="12297" width="6.42578125" style="35" customWidth="1"/>
    <col min="12298" max="12299" width="18.85546875" style="35" customWidth="1"/>
    <col min="12300" max="12544" width="9.140625" style="35" customWidth="1"/>
    <col min="12545" max="12545" width="62" style="35" customWidth="1"/>
    <col min="12546" max="12546" width="32.28515625" style="35" customWidth="1"/>
    <col min="12547" max="12547" width="11.85546875" style="35" customWidth="1"/>
    <col min="12548" max="12550" width="5.28515625" style="35" customWidth="1"/>
    <col min="12551" max="12553" width="6.42578125" style="35" customWidth="1"/>
    <col min="12554" max="12555" width="18.85546875" style="35" customWidth="1"/>
    <col min="12556" max="12800" width="9.140625" style="35" customWidth="1"/>
    <col min="12801" max="12801" width="62" style="35" customWidth="1"/>
    <col min="12802" max="12802" width="32.28515625" style="35" customWidth="1"/>
    <col min="12803" max="12803" width="11.85546875" style="35" customWidth="1"/>
    <col min="12804" max="12806" width="5.28515625" style="35" customWidth="1"/>
    <col min="12807" max="12809" width="6.42578125" style="35" customWidth="1"/>
    <col min="12810" max="12811" width="18.85546875" style="35" customWidth="1"/>
    <col min="12812" max="13056" width="9.140625" style="35" customWidth="1"/>
    <col min="13057" max="13057" width="62" style="35" customWidth="1"/>
    <col min="13058" max="13058" width="32.28515625" style="35" customWidth="1"/>
    <col min="13059" max="13059" width="11.85546875" style="35" customWidth="1"/>
    <col min="13060" max="13062" width="5.28515625" style="35" customWidth="1"/>
    <col min="13063" max="13065" width="6.42578125" style="35" customWidth="1"/>
    <col min="13066" max="13067" width="18.85546875" style="35" customWidth="1"/>
    <col min="13068" max="13312" width="9.140625" style="35" customWidth="1"/>
    <col min="13313" max="13313" width="62" style="35" customWidth="1"/>
    <col min="13314" max="13314" width="32.28515625" style="35" customWidth="1"/>
    <col min="13315" max="13315" width="11.85546875" style="35" customWidth="1"/>
    <col min="13316" max="13318" width="5.28515625" style="35" customWidth="1"/>
    <col min="13319" max="13321" width="6.42578125" style="35" customWidth="1"/>
    <col min="13322" max="13323" width="18.85546875" style="35" customWidth="1"/>
    <col min="13324" max="13568" width="9.140625" style="35" customWidth="1"/>
    <col min="13569" max="13569" width="62" style="35" customWidth="1"/>
    <col min="13570" max="13570" width="32.28515625" style="35" customWidth="1"/>
    <col min="13571" max="13571" width="11.85546875" style="35" customWidth="1"/>
    <col min="13572" max="13574" width="5.28515625" style="35" customWidth="1"/>
    <col min="13575" max="13577" width="6.42578125" style="35" customWidth="1"/>
    <col min="13578" max="13579" width="18.85546875" style="35" customWidth="1"/>
    <col min="13580" max="13824" width="9.140625" style="35" customWidth="1"/>
    <col min="13825" max="13825" width="62" style="35" customWidth="1"/>
    <col min="13826" max="13826" width="32.28515625" style="35" customWidth="1"/>
    <col min="13827" max="13827" width="11.85546875" style="35" customWidth="1"/>
    <col min="13828" max="13830" width="5.28515625" style="35" customWidth="1"/>
    <col min="13831" max="13833" width="6.42578125" style="35" customWidth="1"/>
    <col min="13834" max="13835" width="18.85546875" style="35" customWidth="1"/>
    <col min="13836" max="14080" width="9.140625" style="35" customWidth="1"/>
    <col min="14081" max="14081" width="62" style="35" customWidth="1"/>
    <col min="14082" max="14082" width="32.28515625" style="35" customWidth="1"/>
    <col min="14083" max="14083" width="11.85546875" style="35" customWidth="1"/>
    <col min="14084" max="14086" width="5.28515625" style="35" customWidth="1"/>
    <col min="14087" max="14089" width="6.42578125" style="35" customWidth="1"/>
    <col min="14090" max="14091" width="18.85546875" style="35" customWidth="1"/>
    <col min="14092" max="14336" width="9.140625" style="35" customWidth="1"/>
    <col min="14337" max="14337" width="62" style="35" customWidth="1"/>
    <col min="14338" max="14338" width="32.28515625" style="35" customWidth="1"/>
    <col min="14339" max="14339" width="11.85546875" style="35" customWidth="1"/>
    <col min="14340" max="14342" width="5.28515625" style="35" customWidth="1"/>
    <col min="14343" max="14345" width="6.42578125" style="35" customWidth="1"/>
    <col min="14346" max="14347" width="18.85546875" style="35" customWidth="1"/>
    <col min="14348" max="14592" width="9.140625" style="35" customWidth="1"/>
    <col min="14593" max="14593" width="62" style="35" customWidth="1"/>
    <col min="14594" max="14594" width="32.28515625" style="35" customWidth="1"/>
    <col min="14595" max="14595" width="11.85546875" style="35" customWidth="1"/>
    <col min="14596" max="14598" width="5.28515625" style="35" customWidth="1"/>
    <col min="14599" max="14601" width="6.42578125" style="35" customWidth="1"/>
    <col min="14602" max="14603" width="18.85546875" style="35" customWidth="1"/>
    <col min="14604" max="14848" width="9.140625" style="35" customWidth="1"/>
    <col min="14849" max="14849" width="62" style="35" customWidth="1"/>
    <col min="14850" max="14850" width="32.28515625" style="35" customWidth="1"/>
    <col min="14851" max="14851" width="11.85546875" style="35" customWidth="1"/>
    <col min="14852" max="14854" width="5.28515625" style="35" customWidth="1"/>
    <col min="14855" max="14857" width="6.42578125" style="35" customWidth="1"/>
    <col min="14858" max="14859" width="18.85546875" style="35" customWidth="1"/>
    <col min="14860" max="15104" width="9.140625" style="35" customWidth="1"/>
    <col min="15105" max="15105" width="62" style="35" customWidth="1"/>
    <col min="15106" max="15106" width="32.28515625" style="35" customWidth="1"/>
    <col min="15107" max="15107" width="11.85546875" style="35" customWidth="1"/>
    <col min="15108" max="15110" width="5.28515625" style="35" customWidth="1"/>
    <col min="15111" max="15113" width="6.42578125" style="35" customWidth="1"/>
    <col min="15114" max="15115" width="18.85546875" style="35" customWidth="1"/>
    <col min="15116" max="15360" width="9.140625" style="35" customWidth="1"/>
    <col min="15361" max="15361" width="62" style="35" customWidth="1"/>
    <col min="15362" max="15362" width="32.28515625" style="35" customWidth="1"/>
    <col min="15363" max="15363" width="11.85546875" style="35" customWidth="1"/>
    <col min="15364" max="15366" width="5.28515625" style="35" customWidth="1"/>
    <col min="15367" max="15369" width="6.42578125" style="35" customWidth="1"/>
    <col min="15370" max="15371" width="18.85546875" style="35" customWidth="1"/>
    <col min="15372" max="15616" width="9.140625" style="35" customWidth="1"/>
    <col min="15617" max="15617" width="62" style="35" customWidth="1"/>
    <col min="15618" max="15618" width="32.28515625" style="35" customWidth="1"/>
    <col min="15619" max="15619" width="11.85546875" style="35" customWidth="1"/>
    <col min="15620" max="15622" width="5.28515625" style="35" customWidth="1"/>
    <col min="15623" max="15625" width="6.42578125" style="35" customWidth="1"/>
    <col min="15626" max="15627" width="18.85546875" style="35" customWidth="1"/>
    <col min="15628" max="15872" width="9.140625" style="35" customWidth="1"/>
    <col min="15873" max="15873" width="62" style="35" customWidth="1"/>
    <col min="15874" max="15874" width="32.28515625" style="35" customWidth="1"/>
    <col min="15875" max="15875" width="11.85546875" style="35" customWidth="1"/>
    <col min="15876" max="15878" width="5.28515625" style="35" customWidth="1"/>
    <col min="15879" max="15881" width="6.42578125" style="35" customWidth="1"/>
    <col min="15882" max="15883" width="18.85546875" style="35" customWidth="1"/>
    <col min="15884" max="16128" width="9.140625" style="35" customWidth="1"/>
    <col min="16129" max="16129" width="62" style="35" customWidth="1"/>
    <col min="16130" max="16130" width="32.28515625" style="35" customWidth="1"/>
    <col min="16131" max="16131" width="11.85546875" style="35" customWidth="1"/>
    <col min="16132" max="16134" width="5.28515625" style="35" customWidth="1"/>
    <col min="16135" max="16137" width="6.42578125" style="35" customWidth="1"/>
    <col min="16138" max="16139" width="18.85546875" style="35" customWidth="1"/>
    <col min="16140" max="16384" width="9.140625" style="35" customWidth="1"/>
  </cols>
  <sheetData>
    <row r="1" spans="1:11">
      <c r="A1" s="96" t="s">
        <v>32</v>
      </c>
    </row>
    <row r="2" spans="1:11" ht="16.5">
      <c r="A2" s="79" t="s">
        <v>1</v>
      </c>
    </row>
    <row r="3" spans="1:11">
      <c r="A3" s="97" t="s">
        <v>33</v>
      </c>
    </row>
    <row r="4" spans="1:11">
      <c r="A4" s="97" t="s">
        <v>34</v>
      </c>
    </row>
    <row r="5" spans="1:11">
      <c r="A5" s="98" t="s">
        <v>35</v>
      </c>
    </row>
    <row r="6" spans="1:11" ht="15.4" customHeight="1">
      <c r="A6" s="116" t="s">
        <v>36</v>
      </c>
      <c r="B6" s="117"/>
      <c r="C6" s="117"/>
      <c r="D6" s="117"/>
      <c r="E6" s="117"/>
      <c r="F6" s="117"/>
      <c r="G6" s="117"/>
      <c r="H6" s="117"/>
      <c r="I6" s="117"/>
      <c r="J6" s="117"/>
      <c r="K6" s="117"/>
    </row>
    <row r="7" spans="1:11" ht="15.4" customHeight="1" outlineLevel="1">
      <c r="A7" s="116" t="s">
        <v>37</v>
      </c>
      <c r="B7" s="117"/>
      <c r="C7" s="117"/>
      <c r="D7" s="117"/>
      <c r="E7" s="117"/>
      <c r="F7" s="117"/>
      <c r="G7" s="117"/>
      <c r="H7" s="117"/>
      <c r="I7" s="117"/>
      <c r="J7" s="117"/>
      <c r="K7" s="117"/>
    </row>
    <row r="8" spans="1:11" ht="15.4" customHeight="1" outlineLevel="2">
      <c r="A8" s="116" t="s">
        <v>38</v>
      </c>
      <c r="B8" s="117"/>
      <c r="C8" s="117"/>
      <c r="D8" s="117"/>
      <c r="E8" s="117"/>
      <c r="F8" s="117"/>
      <c r="G8" s="117"/>
      <c r="H8" s="117"/>
      <c r="I8" s="117"/>
      <c r="J8" s="117"/>
      <c r="K8" s="117"/>
    </row>
    <row r="9" spans="1:11" outlineLevel="3">
      <c r="A9" s="99" t="s">
        <v>8</v>
      </c>
      <c r="B9" s="99" t="s">
        <v>9</v>
      </c>
      <c r="C9" s="99" t="s">
        <v>10</v>
      </c>
      <c r="D9" s="99" t="s">
        <v>11</v>
      </c>
      <c r="E9" s="99" t="s">
        <v>12</v>
      </c>
      <c r="F9" s="99" t="s">
        <v>13</v>
      </c>
      <c r="G9" s="99" t="s">
        <v>14</v>
      </c>
      <c r="H9" s="99" t="s">
        <v>15</v>
      </c>
      <c r="I9" s="99" t="s">
        <v>16</v>
      </c>
      <c r="J9" s="99" t="s">
        <v>17</v>
      </c>
      <c r="K9" s="99" t="s">
        <v>18</v>
      </c>
    </row>
    <row r="10" spans="1:11" outlineLevel="3">
      <c r="A10" s="100">
        <v>45460</v>
      </c>
      <c r="B10" s="101" t="s">
        <v>39</v>
      </c>
      <c r="C10" s="101" t="s">
        <v>39</v>
      </c>
      <c r="D10" s="102">
        <v>10.67</v>
      </c>
      <c r="E10" s="102">
        <v>10</v>
      </c>
      <c r="F10" s="102">
        <v>7.8</v>
      </c>
      <c r="G10" s="102">
        <v>2.2000000000000002</v>
      </c>
      <c r="H10" s="102">
        <v>8.6199999999999992</v>
      </c>
      <c r="I10" s="102">
        <v>12.82</v>
      </c>
      <c r="J10" s="36" t="s">
        <v>20</v>
      </c>
      <c r="K10" s="36" t="s">
        <v>20</v>
      </c>
    </row>
    <row r="11" spans="1:11" outlineLevel="3">
      <c r="A11" s="100">
        <v>45461</v>
      </c>
      <c r="B11" s="101" t="s">
        <v>40</v>
      </c>
      <c r="C11" s="101" t="s">
        <v>40</v>
      </c>
      <c r="D11" s="102">
        <v>8.9499999999999993</v>
      </c>
      <c r="E11" s="102">
        <v>8.92</v>
      </c>
      <c r="F11" s="102">
        <v>7.8</v>
      </c>
      <c r="G11" s="102">
        <v>1.1200000000000001</v>
      </c>
      <c r="H11" s="102">
        <v>9.73</v>
      </c>
      <c r="I11" s="102">
        <v>13.93</v>
      </c>
      <c r="J11" s="36" t="s">
        <v>20</v>
      </c>
      <c r="K11" s="36" t="s">
        <v>20</v>
      </c>
    </row>
    <row r="12" spans="1:11" outlineLevel="3">
      <c r="A12" s="100">
        <v>45462</v>
      </c>
      <c r="B12" s="101" t="s">
        <v>41</v>
      </c>
      <c r="C12" s="101" t="s">
        <v>41</v>
      </c>
      <c r="D12" s="102">
        <v>3.7</v>
      </c>
      <c r="E12" s="102">
        <v>3.7</v>
      </c>
      <c r="F12" s="102">
        <v>7.8</v>
      </c>
      <c r="G12" s="102">
        <v>-0.2</v>
      </c>
      <c r="H12" s="102">
        <v>9.5299999999999994</v>
      </c>
      <c r="I12" s="102">
        <v>9.83</v>
      </c>
      <c r="J12" s="36" t="s">
        <v>42</v>
      </c>
      <c r="K12" s="36" t="s">
        <v>20</v>
      </c>
    </row>
    <row r="13" spans="1:11" outlineLevel="3">
      <c r="A13" s="100">
        <v>45463</v>
      </c>
      <c r="B13" s="101" t="s">
        <v>43</v>
      </c>
      <c r="C13" s="101" t="s">
        <v>43</v>
      </c>
      <c r="D13" s="102">
        <v>7.95</v>
      </c>
      <c r="E13" s="102">
        <v>7.95</v>
      </c>
      <c r="F13" s="102">
        <v>7.8</v>
      </c>
      <c r="G13" s="102">
        <v>0.15</v>
      </c>
      <c r="H13" s="102">
        <v>9.68</v>
      </c>
      <c r="I13" s="102">
        <v>9.98</v>
      </c>
      <c r="J13" s="36" t="s">
        <v>20</v>
      </c>
      <c r="K13" s="36" t="s">
        <v>20</v>
      </c>
    </row>
    <row r="14" spans="1:11" outlineLevel="3">
      <c r="A14" s="100">
        <v>45464</v>
      </c>
      <c r="B14" s="101" t="s">
        <v>44</v>
      </c>
      <c r="C14" s="101" t="s">
        <v>44</v>
      </c>
      <c r="D14" s="102">
        <v>8.9700000000000006</v>
      </c>
      <c r="E14" s="102">
        <v>8.77</v>
      </c>
      <c r="F14" s="102">
        <v>7.8</v>
      </c>
      <c r="G14" s="102">
        <v>0.97</v>
      </c>
      <c r="H14" s="102">
        <v>10.65</v>
      </c>
      <c r="I14" s="102">
        <v>10.95</v>
      </c>
      <c r="J14" s="36" t="s">
        <v>20</v>
      </c>
      <c r="K14" s="36" t="s">
        <v>20</v>
      </c>
    </row>
    <row r="15" spans="1:11" outlineLevel="3">
      <c r="A15" s="100">
        <v>45465</v>
      </c>
      <c r="B15" s="101" t="s">
        <v>44</v>
      </c>
      <c r="C15" s="101" t="s">
        <v>44</v>
      </c>
      <c r="D15" s="102">
        <v>8.9700000000000006</v>
      </c>
      <c r="E15" s="102">
        <v>8.77</v>
      </c>
      <c r="F15" s="102">
        <v>7.8</v>
      </c>
      <c r="G15" s="102"/>
      <c r="H15" s="102"/>
      <c r="I15" s="102"/>
      <c r="J15" s="36" t="s">
        <v>20</v>
      </c>
      <c r="K15" s="36" t="s">
        <v>20</v>
      </c>
    </row>
    <row r="16" spans="1:11" outlineLevel="3">
      <c r="A16" s="100">
        <v>45466</v>
      </c>
      <c r="B16" s="103"/>
      <c r="C16" s="103"/>
      <c r="D16" s="102">
        <v>0</v>
      </c>
      <c r="E16" s="102">
        <v>0</v>
      </c>
      <c r="F16" s="102">
        <v>0</v>
      </c>
      <c r="G16" s="102">
        <v>0</v>
      </c>
      <c r="H16" s="102">
        <v>10.65</v>
      </c>
      <c r="I16" s="102">
        <v>10.95</v>
      </c>
      <c r="J16" s="36" t="s">
        <v>20</v>
      </c>
      <c r="K16" s="36" t="s">
        <v>20</v>
      </c>
    </row>
    <row r="17" spans="1:11" outlineLevel="3">
      <c r="A17" s="85" t="s">
        <v>26</v>
      </c>
      <c r="B17" s="85"/>
      <c r="C17" s="85"/>
      <c r="D17" s="104">
        <v>40.229999999999997</v>
      </c>
      <c r="E17" s="104">
        <v>39.33</v>
      </c>
      <c r="F17" s="104">
        <v>39</v>
      </c>
      <c r="G17" s="85"/>
      <c r="H17" s="85"/>
      <c r="I17" s="85"/>
      <c r="J17" s="85"/>
      <c r="K17" s="85"/>
    </row>
    <row r="18" spans="1:11" outlineLevel="3">
      <c r="A18" s="105" t="s">
        <v>20</v>
      </c>
      <c r="B18" s="105"/>
      <c r="C18" s="105"/>
      <c r="D18" s="105"/>
      <c r="E18" s="105"/>
      <c r="F18" s="105"/>
      <c r="G18" s="105"/>
      <c r="H18" s="105"/>
      <c r="I18" s="105"/>
      <c r="J18" s="105"/>
      <c r="K18" s="105"/>
    </row>
    <row r="19" spans="1:11" outlineLevel="2">
      <c r="A19" s="85" t="s">
        <v>27</v>
      </c>
      <c r="B19" s="105"/>
      <c r="C19" s="105"/>
      <c r="D19" s="102">
        <v>40.229999999999997</v>
      </c>
      <c r="E19" s="102">
        <v>39.33</v>
      </c>
      <c r="F19" s="102">
        <v>39</v>
      </c>
      <c r="G19" s="105"/>
      <c r="H19" s="105"/>
      <c r="I19" s="105"/>
      <c r="J19" s="105"/>
      <c r="K19" s="105"/>
    </row>
    <row r="20" spans="1:11" outlineLevel="1">
      <c r="A20" s="85" t="s">
        <v>28</v>
      </c>
      <c r="B20" s="105"/>
      <c r="C20" s="105"/>
      <c r="D20" s="102">
        <v>40.229999999999997</v>
      </c>
      <c r="E20" s="102">
        <v>39.33</v>
      </c>
      <c r="F20" s="102">
        <v>39</v>
      </c>
      <c r="G20" s="105"/>
      <c r="H20" s="105"/>
      <c r="I20" s="105"/>
      <c r="J20" s="105"/>
      <c r="K20" s="105"/>
    </row>
    <row r="21" spans="1:11">
      <c r="A21" s="85" t="s">
        <v>29</v>
      </c>
      <c r="B21" s="105"/>
      <c r="C21" s="105"/>
      <c r="D21" s="102">
        <v>40.229999999999997</v>
      </c>
      <c r="E21" s="102">
        <v>39.33</v>
      </c>
      <c r="F21" s="102">
        <v>39</v>
      </c>
      <c r="G21" s="105"/>
      <c r="H21" s="105"/>
      <c r="I21" s="105"/>
      <c r="J21" s="105"/>
      <c r="K21" s="105"/>
    </row>
    <row r="22" spans="1:11">
      <c r="A22" s="106"/>
      <c r="B22" s="107" t="s">
        <v>30</v>
      </c>
      <c r="C22" s="108" t="s">
        <v>31</v>
      </c>
    </row>
  </sheetData>
  <mergeCells count="3">
    <mergeCell ref="A6:K6"/>
    <mergeCell ref="A7:K7"/>
    <mergeCell ref="A8:K8"/>
  </mergeCells>
  <pageMargins left="0.49212598425196852" right="0.49212598425196852" top="0.89370078740157477" bottom="0.89370078740157477" header="0.5" footer="0.5"/>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5F24F-FBA8-4BCB-AFB7-AF0A533EAE29}">
  <dimension ref="A1:K82"/>
  <sheetViews>
    <sheetView topLeftCell="A32" zoomScale="85" zoomScaleNormal="85" workbookViewId="0">
      <selection activeCell="Q26" sqref="Q26"/>
    </sheetView>
  </sheetViews>
  <sheetFormatPr defaultColWidth="9.140625" defaultRowHeight="12.75" outlineLevelRow="3"/>
  <cols>
    <col min="1" max="1" width="45" style="35" bestFit="1" customWidth="1"/>
    <col min="2" max="2" width="17.28515625" style="35" bestFit="1" customWidth="1"/>
    <col min="3" max="3" width="18" style="35" bestFit="1" customWidth="1"/>
    <col min="4" max="4" width="14.28515625" style="35" bestFit="1" customWidth="1"/>
    <col min="5" max="5" width="18.28515625" style="35" bestFit="1" customWidth="1"/>
    <col min="6" max="6" width="15.5703125" style="35" bestFit="1" customWidth="1"/>
    <col min="7" max="7" width="8.85546875" style="35" bestFit="1" customWidth="1"/>
    <col min="8" max="8" width="11.7109375" style="35" bestFit="1" customWidth="1"/>
    <col min="9" max="9" width="9.85546875" style="35" bestFit="1" customWidth="1"/>
    <col min="10" max="11" width="11.28515625" style="35" bestFit="1" customWidth="1"/>
    <col min="12" max="256" width="9.140625" style="35"/>
    <col min="257" max="257" width="62" style="35" customWidth="1"/>
    <col min="258" max="258" width="25" style="35" customWidth="1"/>
    <col min="259" max="259" width="24.85546875" style="35" customWidth="1"/>
    <col min="260" max="262" width="5.28515625" style="35" customWidth="1"/>
    <col min="263" max="265" width="6.42578125" style="35" customWidth="1"/>
    <col min="266" max="267" width="18.85546875" style="35" customWidth="1"/>
    <col min="268" max="512" width="9.140625" style="35"/>
    <col min="513" max="513" width="62" style="35" customWidth="1"/>
    <col min="514" max="514" width="25" style="35" customWidth="1"/>
    <col min="515" max="515" width="24.85546875" style="35" customWidth="1"/>
    <col min="516" max="518" width="5.28515625" style="35" customWidth="1"/>
    <col min="519" max="521" width="6.42578125" style="35" customWidth="1"/>
    <col min="522" max="523" width="18.85546875" style="35" customWidth="1"/>
    <col min="524" max="768" width="9.140625" style="35"/>
    <col min="769" max="769" width="62" style="35" customWidth="1"/>
    <col min="770" max="770" width="25" style="35" customWidth="1"/>
    <col min="771" max="771" width="24.85546875" style="35" customWidth="1"/>
    <col min="772" max="774" width="5.28515625" style="35" customWidth="1"/>
    <col min="775" max="777" width="6.42578125" style="35" customWidth="1"/>
    <col min="778" max="779" width="18.85546875" style="35" customWidth="1"/>
    <col min="780" max="1024" width="9.140625" style="35"/>
    <col min="1025" max="1025" width="62" style="35" customWidth="1"/>
    <col min="1026" max="1026" width="25" style="35" customWidth="1"/>
    <col min="1027" max="1027" width="24.85546875" style="35" customWidth="1"/>
    <col min="1028" max="1030" width="5.28515625" style="35" customWidth="1"/>
    <col min="1031" max="1033" width="6.42578125" style="35" customWidth="1"/>
    <col min="1034" max="1035" width="18.85546875" style="35" customWidth="1"/>
    <col min="1036" max="1280" width="9.140625" style="35"/>
    <col min="1281" max="1281" width="62" style="35" customWidth="1"/>
    <col min="1282" max="1282" width="25" style="35" customWidth="1"/>
    <col min="1283" max="1283" width="24.85546875" style="35" customWidth="1"/>
    <col min="1284" max="1286" width="5.28515625" style="35" customWidth="1"/>
    <col min="1287" max="1289" width="6.42578125" style="35" customWidth="1"/>
    <col min="1290" max="1291" width="18.85546875" style="35" customWidth="1"/>
    <col min="1292" max="1536" width="9.140625" style="35"/>
    <col min="1537" max="1537" width="62" style="35" customWidth="1"/>
    <col min="1538" max="1538" width="25" style="35" customWidth="1"/>
    <col min="1539" max="1539" width="24.85546875" style="35" customWidth="1"/>
    <col min="1540" max="1542" width="5.28515625" style="35" customWidth="1"/>
    <col min="1543" max="1545" width="6.42578125" style="35" customWidth="1"/>
    <col min="1546" max="1547" width="18.85546875" style="35" customWidth="1"/>
    <col min="1548" max="1792" width="9.140625" style="35"/>
    <col min="1793" max="1793" width="62" style="35" customWidth="1"/>
    <col min="1794" max="1794" width="25" style="35" customWidth="1"/>
    <col min="1795" max="1795" width="24.85546875" style="35" customWidth="1"/>
    <col min="1796" max="1798" width="5.28515625" style="35" customWidth="1"/>
    <col min="1799" max="1801" width="6.42578125" style="35" customWidth="1"/>
    <col min="1802" max="1803" width="18.85546875" style="35" customWidth="1"/>
    <col min="1804" max="2048" width="9.140625" style="35"/>
    <col min="2049" max="2049" width="62" style="35" customWidth="1"/>
    <col min="2050" max="2050" width="25" style="35" customWidth="1"/>
    <col min="2051" max="2051" width="24.85546875" style="35" customWidth="1"/>
    <col min="2052" max="2054" width="5.28515625" style="35" customWidth="1"/>
    <col min="2055" max="2057" width="6.42578125" style="35" customWidth="1"/>
    <col min="2058" max="2059" width="18.85546875" style="35" customWidth="1"/>
    <col min="2060" max="2304" width="9.140625" style="35"/>
    <col min="2305" max="2305" width="62" style="35" customWidth="1"/>
    <col min="2306" max="2306" width="25" style="35" customWidth="1"/>
    <col min="2307" max="2307" width="24.85546875" style="35" customWidth="1"/>
    <col min="2308" max="2310" width="5.28515625" style="35" customWidth="1"/>
    <col min="2311" max="2313" width="6.42578125" style="35" customWidth="1"/>
    <col min="2314" max="2315" width="18.85546875" style="35" customWidth="1"/>
    <col min="2316" max="2560" width="9.140625" style="35"/>
    <col min="2561" max="2561" width="62" style="35" customWidth="1"/>
    <col min="2562" max="2562" width="25" style="35" customWidth="1"/>
    <col min="2563" max="2563" width="24.85546875" style="35" customWidth="1"/>
    <col min="2564" max="2566" width="5.28515625" style="35" customWidth="1"/>
    <col min="2567" max="2569" width="6.42578125" style="35" customWidth="1"/>
    <col min="2570" max="2571" width="18.85546875" style="35" customWidth="1"/>
    <col min="2572" max="2816" width="9.140625" style="35"/>
    <col min="2817" max="2817" width="62" style="35" customWidth="1"/>
    <col min="2818" max="2818" width="25" style="35" customWidth="1"/>
    <col min="2819" max="2819" width="24.85546875" style="35" customWidth="1"/>
    <col min="2820" max="2822" width="5.28515625" style="35" customWidth="1"/>
    <col min="2823" max="2825" width="6.42578125" style="35" customWidth="1"/>
    <col min="2826" max="2827" width="18.85546875" style="35" customWidth="1"/>
    <col min="2828" max="3072" width="9.140625" style="35"/>
    <col min="3073" max="3073" width="62" style="35" customWidth="1"/>
    <col min="3074" max="3074" width="25" style="35" customWidth="1"/>
    <col min="3075" max="3075" width="24.85546875" style="35" customWidth="1"/>
    <col min="3076" max="3078" width="5.28515625" style="35" customWidth="1"/>
    <col min="3079" max="3081" width="6.42578125" style="35" customWidth="1"/>
    <col min="3082" max="3083" width="18.85546875" style="35" customWidth="1"/>
    <col min="3084" max="3328" width="9.140625" style="35"/>
    <col min="3329" max="3329" width="62" style="35" customWidth="1"/>
    <col min="3330" max="3330" width="25" style="35" customWidth="1"/>
    <col min="3331" max="3331" width="24.85546875" style="35" customWidth="1"/>
    <col min="3332" max="3334" width="5.28515625" style="35" customWidth="1"/>
    <col min="3335" max="3337" width="6.42578125" style="35" customWidth="1"/>
    <col min="3338" max="3339" width="18.85546875" style="35" customWidth="1"/>
    <col min="3340" max="3584" width="9.140625" style="35"/>
    <col min="3585" max="3585" width="62" style="35" customWidth="1"/>
    <col min="3586" max="3586" width="25" style="35" customWidth="1"/>
    <col min="3587" max="3587" width="24.85546875" style="35" customWidth="1"/>
    <col min="3588" max="3590" width="5.28515625" style="35" customWidth="1"/>
    <col min="3591" max="3593" width="6.42578125" style="35" customWidth="1"/>
    <col min="3594" max="3595" width="18.85546875" style="35" customWidth="1"/>
    <col min="3596" max="3840" width="9.140625" style="35"/>
    <col min="3841" max="3841" width="62" style="35" customWidth="1"/>
    <col min="3842" max="3842" width="25" style="35" customWidth="1"/>
    <col min="3843" max="3843" width="24.85546875" style="35" customWidth="1"/>
    <col min="3844" max="3846" width="5.28515625" style="35" customWidth="1"/>
    <col min="3847" max="3849" width="6.42578125" style="35" customWidth="1"/>
    <col min="3850" max="3851" width="18.85546875" style="35" customWidth="1"/>
    <col min="3852" max="4096" width="9.140625" style="35"/>
    <col min="4097" max="4097" width="62" style="35" customWidth="1"/>
    <col min="4098" max="4098" width="25" style="35" customWidth="1"/>
    <col min="4099" max="4099" width="24.85546875" style="35" customWidth="1"/>
    <col min="4100" max="4102" width="5.28515625" style="35" customWidth="1"/>
    <col min="4103" max="4105" width="6.42578125" style="35" customWidth="1"/>
    <col min="4106" max="4107" width="18.85546875" style="35" customWidth="1"/>
    <col min="4108" max="4352" width="9.140625" style="35"/>
    <col min="4353" max="4353" width="62" style="35" customWidth="1"/>
    <col min="4354" max="4354" width="25" style="35" customWidth="1"/>
    <col min="4355" max="4355" width="24.85546875" style="35" customWidth="1"/>
    <col min="4356" max="4358" width="5.28515625" style="35" customWidth="1"/>
    <col min="4359" max="4361" width="6.42578125" style="35" customWidth="1"/>
    <col min="4362" max="4363" width="18.85546875" style="35" customWidth="1"/>
    <col min="4364" max="4608" width="9.140625" style="35"/>
    <col min="4609" max="4609" width="62" style="35" customWidth="1"/>
    <col min="4610" max="4610" width="25" style="35" customWidth="1"/>
    <col min="4611" max="4611" width="24.85546875" style="35" customWidth="1"/>
    <col min="4612" max="4614" width="5.28515625" style="35" customWidth="1"/>
    <col min="4615" max="4617" width="6.42578125" style="35" customWidth="1"/>
    <col min="4618" max="4619" width="18.85546875" style="35" customWidth="1"/>
    <col min="4620" max="4864" width="9.140625" style="35"/>
    <col min="4865" max="4865" width="62" style="35" customWidth="1"/>
    <col min="4866" max="4866" width="25" style="35" customWidth="1"/>
    <col min="4867" max="4867" width="24.85546875" style="35" customWidth="1"/>
    <col min="4868" max="4870" width="5.28515625" style="35" customWidth="1"/>
    <col min="4871" max="4873" width="6.42578125" style="35" customWidth="1"/>
    <col min="4874" max="4875" width="18.85546875" style="35" customWidth="1"/>
    <col min="4876" max="5120" width="9.140625" style="35"/>
    <col min="5121" max="5121" width="62" style="35" customWidth="1"/>
    <col min="5122" max="5122" width="25" style="35" customWidth="1"/>
    <col min="5123" max="5123" width="24.85546875" style="35" customWidth="1"/>
    <col min="5124" max="5126" width="5.28515625" style="35" customWidth="1"/>
    <col min="5127" max="5129" width="6.42578125" style="35" customWidth="1"/>
    <col min="5130" max="5131" width="18.85546875" style="35" customWidth="1"/>
    <col min="5132" max="5376" width="9.140625" style="35"/>
    <col min="5377" max="5377" width="62" style="35" customWidth="1"/>
    <col min="5378" max="5378" width="25" style="35" customWidth="1"/>
    <col min="5379" max="5379" width="24.85546875" style="35" customWidth="1"/>
    <col min="5380" max="5382" width="5.28515625" style="35" customWidth="1"/>
    <col min="5383" max="5385" width="6.42578125" style="35" customWidth="1"/>
    <col min="5386" max="5387" width="18.85546875" style="35" customWidth="1"/>
    <col min="5388" max="5632" width="9.140625" style="35"/>
    <col min="5633" max="5633" width="62" style="35" customWidth="1"/>
    <col min="5634" max="5634" width="25" style="35" customWidth="1"/>
    <col min="5635" max="5635" width="24.85546875" style="35" customWidth="1"/>
    <col min="5636" max="5638" width="5.28515625" style="35" customWidth="1"/>
    <col min="5639" max="5641" width="6.42578125" style="35" customWidth="1"/>
    <col min="5642" max="5643" width="18.85546875" style="35" customWidth="1"/>
    <col min="5644" max="5888" width="9.140625" style="35"/>
    <col min="5889" max="5889" width="62" style="35" customWidth="1"/>
    <col min="5890" max="5890" width="25" style="35" customWidth="1"/>
    <col min="5891" max="5891" width="24.85546875" style="35" customWidth="1"/>
    <col min="5892" max="5894" width="5.28515625" style="35" customWidth="1"/>
    <col min="5895" max="5897" width="6.42578125" style="35" customWidth="1"/>
    <col min="5898" max="5899" width="18.85546875" style="35" customWidth="1"/>
    <col min="5900" max="6144" width="9.140625" style="35"/>
    <col min="6145" max="6145" width="62" style="35" customWidth="1"/>
    <col min="6146" max="6146" width="25" style="35" customWidth="1"/>
    <col min="6147" max="6147" width="24.85546875" style="35" customWidth="1"/>
    <col min="6148" max="6150" width="5.28515625" style="35" customWidth="1"/>
    <col min="6151" max="6153" width="6.42578125" style="35" customWidth="1"/>
    <col min="6154" max="6155" width="18.85546875" style="35" customWidth="1"/>
    <col min="6156" max="6400" width="9.140625" style="35"/>
    <col min="6401" max="6401" width="62" style="35" customWidth="1"/>
    <col min="6402" max="6402" width="25" style="35" customWidth="1"/>
    <col min="6403" max="6403" width="24.85546875" style="35" customWidth="1"/>
    <col min="6404" max="6406" width="5.28515625" style="35" customWidth="1"/>
    <col min="6407" max="6409" width="6.42578125" style="35" customWidth="1"/>
    <col min="6410" max="6411" width="18.85546875" style="35" customWidth="1"/>
    <col min="6412" max="6656" width="9.140625" style="35"/>
    <col min="6657" max="6657" width="62" style="35" customWidth="1"/>
    <col min="6658" max="6658" width="25" style="35" customWidth="1"/>
    <col min="6659" max="6659" width="24.85546875" style="35" customWidth="1"/>
    <col min="6660" max="6662" width="5.28515625" style="35" customWidth="1"/>
    <col min="6663" max="6665" width="6.42578125" style="35" customWidth="1"/>
    <col min="6666" max="6667" width="18.85546875" style="35" customWidth="1"/>
    <col min="6668" max="6912" width="9.140625" style="35"/>
    <col min="6913" max="6913" width="62" style="35" customWidth="1"/>
    <col min="6914" max="6914" width="25" style="35" customWidth="1"/>
    <col min="6915" max="6915" width="24.85546875" style="35" customWidth="1"/>
    <col min="6916" max="6918" width="5.28515625" style="35" customWidth="1"/>
    <col min="6919" max="6921" width="6.42578125" style="35" customWidth="1"/>
    <col min="6922" max="6923" width="18.85546875" style="35" customWidth="1"/>
    <col min="6924" max="7168" width="9.140625" style="35"/>
    <col min="7169" max="7169" width="62" style="35" customWidth="1"/>
    <col min="7170" max="7170" width="25" style="35" customWidth="1"/>
    <col min="7171" max="7171" width="24.85546875" style="35" customWidth="1"/>
    <col min="7172" max="7174" width="5.28515625" style="35" customWidth="1"/>
    <col min="7175" max="7177" width="6.42578125" style="35" customWidth="1"/>
    <col min="7178" max="7179" width="18.85546875" style="35" customWidth="1"/>
    <col min="7180" max="7424" width="9.140625" style="35"/>
    <col min="7425" max="7425" width="62" style="35" customWidth="1"/>
    <col min="7426" max="7426" width="25" style="35" customWidth="1"/>
    <col min="7427" max="7427" width="24.85546875" style="35" customWidth="1"/>
    <col min="7428" max="7430" width="5.28515625" style="35" customWidth="1"/>
    <col min="7431" max="7433" width="6.42578125" style="35" customWidth="1"/>
    <col min="7434" max="7435" width="18.85546875" style="35" customWidth="1"/>
    <col min="7436" max="7680" width="9.140625" style="35"/>
    <col min="7681" max="7681" width="62" style="35" customWidth="1"/>
    <col min="7682" max="7682" width="25" style="35" customWidth="1"/>
    <col min="7683" max="7683" width="24.85546875" style="35" customWidth="1"/>
    <col min="7684" max="7686" width="5.28515625" style="35" customWidth="1"/>
    <col min="7687" max="7689" width="6.42578125" style="35" customWidth="1"/>
    <col min="7690" max="7691" width="18.85546875" style="35" customWidth="1"/>
    <col min="7692" max="7936" width="9.140625" style="35"/>
    <col min="7937" max="7937" width="62" style="35" customWidth="1"/>
    <col min="7938" max="7938" width="25" style="35" customWidth="1"/>
    <col min="7939" max="7939" width="24.85546875" style="35" customWidth="1"/>
    <col min="7940" max="7942" width="5.28515625" style="35" customWidth="1"/>
    <col min="7943" max="7945" width="6.42578125" style="35" customWidth="1"/>
    <col min="7946" max="7947" width="18.85546875" style="35" customWidth="1"/>
    <col min="7948" max="8192" width="9.140625" style="35"/>
    <col min="8193" max="8193" width="62" style="35" customWidth="1"/>
    <col min="8194" max="8194" width="25" style="35" customWidth="1"/>
    <col min="8195" max="8195" width="24.85546875" style="35" customWidth="1"/>
    <col min="8196" max="8198" width="5.28515625" style="35" customWidth="1"/>
    <col min="8199" max="8201" width="6.42578125" style="35" customWidth="1"/>
    <col min="8202" max="8203" width="18.85546875" style="35" customWidth="1"/>
    <col min="8204" max="8448" width="9.140625" style="35"/>
    <col min="8449" max="8449" width="62" style="35" customWidth="1"/>
    <col min="8450" max="8450" width="25" style="35" customWidth="1"/>
    <col min="8451" max="8451" width="24.85546875" style="35" customWidth="1"/>
    <col min="8452" max="8454" width="5.28515625" style="35" customWidth="1"/>
    <col min="8455" max="8457" width="6.42578125" style="35" customWidth="1"/>
    <col min="8458" max="8459" width="18.85546875" style="35" customWidth="1"/>
    <col min="8460" max="8704" width="9.140625" style="35"/>
    <col min="8705" max="8705" width="62" style="35" customWidth="1"/>
    <col min="8706" max="8706" width="25" style="35" customWidth="1"/>
    <col min="8707" max="8707" width="24.85546875" style="35" customWidth="1"/>
    <col min="8708" max="8710" width="5.28515625" style="35" customWidth="1"/>
    <col min="8711" max="8713" width="6.42578125" style="35" customWidth="1"/>
    <col min="8714" max="8715" width="18.85546875" style="35" customWidth="1"/>
    <col min="8716" max="8960" width="9.140625" style="35"/>
    <col min="8961" max="8961" width="62" style="35" customWidth="1"/>
    <col min="8962" max="8962" width="25" style="35" customWidth="1"/>
    <col min="8963" max="8963" width="24.85546875" style="35" customWidth="1"/>
    <col min="8964" max="8966" width="5.28515625" style="35" customWidth="1"/>
    <col min="8967" max="8969" width="6.42578125" style="35" customWidth="1"/>
    <col min="8970" max="8971" width="18.85546875" style="35" customWidth="1"/>
    <col min="8972" max="9216" width="9.140625" style="35"/>
    <col min="9217" max="9217" width="62" style="35" customWidth="1"/>
    <col min="9218" max="9218" width="25" style="35" customWidth="1"/>
    <col min="9219" max="9219" width="24.85546875" style="35" customWidth="1"/>
    <col min="9220" max="9222" width="5.28515625" style="35" customWidth="1"/>
    <col min="9223" max="9225" width="6.42578125" style="35" customWidth="1"/>
    <col min="9226" max="9227" width="18.85546875" style="35" customWidth="1"/>
    <col min="9228" max="9472" width="9.140625" style="35"/>
    <col min="9473" max="9473" width="62" style="35" customWidth="1"/>
    <col min="9474" max="9474" width="25" style="35" customWidth="1"/>
    <col min="9475" max="9475" width="24.85546875" style="35" customWidth="1"/>
    <col min="9476" max="9478" width="5.28515625" style="35" customWidth="1"/>
    <col min="9479" max="9481" width="6.42578125" style="35" customWidth="1"/>
    <col min="9482" max="9483" width="18.85546875" style="35" customWidth="1"/>
    <col min="9484" max="9728" width="9.140625" style="35"/>
    <col min="9729" max="9729" width="62" style="35" customWidth="1"/>
    <col min="9730" max="9730" width="25" style="35" customWidth="1"/>
    <col min="9731" max="9731" width="24.85546875" style="35" customWidth="1"/>
    <col min="9732" max="9734" width="5.28515625" style="35" customWidth="1"/>
    <col min="9735" max="9737" width="6.42578125" style="35" customWidth="1"/>
    <col min="9738" max="9739" width="18.85546875" style="35" customWidth="1"/>
    <col min="9740" max="9984" width="9.140625" style="35"/>
    <col min="9985" max="9985" width="62" style="35" customWidth="1"/>
    <col min="9986" max="9986" width="25" style="35" customWidth="1"/>
    <col min="9987" max="9987" width="24.85546875" style="35" customWidth="1"/>
    <col min="9988" max="9990" width="5.28515625" style="35" customWidth="1"/>
    <col min="9991" max="9993" width="6.42578125" style="35" customWidth="1"/>
    <col min="9994" max="9995" width="18.85546875" style="35" customWidth="1"/>
    <col min="9996" max="10240" width="9.140625" style="35"/>
    <col min="10241" max="10241" width="62" style="35" customWidth="1"/>
    <col min="10242" max="10242" width="25" style="35" customWidth="1"/>
    <col min="10243" max="10243" width="24.85546875" style="35" customWidth="1"/>
    <col min="10244" max="10246" width="5.28515625" style="35" customWidth="1"/>
    <col min="10247" max="10249" width="6.42578125" style="35" customWidth="1"/>
    <col min="10250" max="10251" width="18.85546875" style="35" customWidth="1"/>
    <col min="10252" max="10496" width="9.140625" style="35"/>
    <col min="10497" max="10497" width="62" style="35" customWidth="1"/>
    <col min="10498" max="10498" width="25" style="35" customWidth="1"/>
    <col min="10499" max="10499" width="24.85546875" style="35" customWidth="1"/>
    <col min="10500" max="10502" width="5.28515625" style="35" customWidth="1"/>
    <col min="10503" max="10505" width="6.42578125" style="35" customWidth="1"/>
    <col min="10506" max="10507" width="18.85546875" style="35" customWidth="1"/>
    <col min="10508" max="10752" width="9.140625" style="35"/>
    <col min="10753" max="10753" width="62" style="35" customWidth="1"/>
    <col min="10754" max="10754" width="25" style="35" customWidth="1"/>
    <col min="10755" max="10755" width="24.85546875" style="35" customWidth="1"/>
    <col min="10756" max="10758" width="5.28515625" style="35" customWidth="1"/>
    <col min="10759" max="10761" width="6.42578125" style="35" customWidth="1"/>
    <col min="10762" max="10763" width="18.85546875" style="35" customWidth="1"/>
    <col min="10764" max="11008" width="9.140625" style="35"/>
    <col min="11009" max="11009" width="62" style="35" customWidth="1"/>
    <col min="11010" max="11010" width="25" style="35" customWidth="1"/>
    <col min="11011" max="11011" width="24.85546875" style="35" customWidth="1"/>
    <col min="11012" max="11014" width="5.28515625" style="35" customWidth="1"/>
    <col min="11015" max="11017" width="6.42578125" style="35" customWidth="1"/>
    <col min="11018" max="11019" width="18.85546875" style="35" customWidth="1"/>
    <col min="11020" max="11264" width="9.140625" style="35"/>
    <col min="11265" max="11265" width="62" style="35" customWidth="1"/>
    <col min="11266" max="11266" width="25" style="35" customWidth="1"/>
    <col min="11267" max="11267" width="24.85546875" style="35" customWidth="1"/>
    <col min="11268" max="11270" width="5.28515625" style="35" customWidth="1"/>
    <col min="11271" max="11273" width="6.42578125" style="35" customWidth="1"/>
    <col min="11274" max="11275" width="18.85546875" style="35" customWidth="1"/>
    <col min="11276" max="11520" width="9.140625" style="35"/>
    <col min="11521" max="11521" width="62" style="35" customWidth="1"/>
    <col min="11522" max="11522" width="25" style="35" customWidth="1"/>
    <col min="11523" max="11523" width="24.85546875" style="35" customWidth="1"/>
    <col min="11524" max="11526" width="5.28515625" style="35" customWidth="1"/>
    <col min="11527" max="11529" width="6.42578125" style="35" customWidth="1"/>
    <col min="11530" max="11531" width="18.85546875" style="35" customWidth="1"/>
    <col min="11532" max="11776" width="9.140625" style="35"/>
    <col min="11777" max="11777" width="62" style="35" customWidth="1"/>
    <col min="11778" max="11778" width="25" style="35" customWidth="1"/>
    <col min="11779" max="11779" width="24.85546875" style="35" customWidth="1"/>
    <col min="11780" max="11782" width="5.28515625" style="35" customWidth="1"/>
    <col min="11783" max="11785" width="6.42578125" style="35" customWidth="1"/>
    <col min="11786" max="11787" width="18.85546875" style="35" customWidth="1"/>
    <col min="11788" max="12032" width="9.140625" style="35"/>
    <col min="12033" max="12033" width="62" style="35" customWidth="1"/>
    <col min="12034" max="12034" width="25" style="35" customWidth="1"/>
    <col min="12035" max="12035" width="24.85546875" style="35" customWidth="1"/>
    <col min="12036" max="12038" width="5.28515625" style="35" customWidth="1"/>
    <col min="12039" max="12041" width="6.42578125" style="35" customWidth="1"/>
    <col min="12042" max="12043" width="18.85546875" style="35" customWidth="1"/>
    <col min="12044" max="12288" width="9.140625" style="35"/>
    <col min="12289" max="12289" width="62" style="35" customWidth="1"/>
    <col min="12290" max="12290" width="25" style="35" customWidth="1"/>
    <col min="12291" max="12291" width="24.85546875" style="35" customWidth="1"/>
    <col min="12292" max="12294" width="5.28515625" style="35" customWidth="1"/>
    <col min="12295" max="12297" width="6.42578125" style="35" customWidth="1"/>
    <col min="12298" max="12299" width="18.85546875" style="35" customWidth="1"/>
    <col min="12300" max="12544" width="9.140625" style="35"/>
    <col min="12545" max="12545" width="62" style="35" customWidth="1"/>
    <col min="12546" max="12546" width="25" style="35" customWidth="1"/>
    <col min="12547" max="12547" width="24.85546875" style="35" customWidth="1"/>
    <col min="12548" max="12550" width="5.28515625" style="35" customWidth="1"/>
    <col min="12551" max="12553" width="6.42578125" style="35" customWidth="1"/>
    <col min="12554" max="12555" width="18.85546875" style="35" customWidth="1"/>
    <col min="12556" max="12800" width="9.140625" style="35"/>
    <col min="12801" max="12801" width="62" style="35" customWidth="1"/>
    <col min="12802" max="12802" width="25" style="35" customWidth="1"/>
    <col min="12803" max="12803" width="24.85546875" style="35" customWidth="1"/>
    <col min="12804" max="12806" width="5.28515625" style="35" customWidth="1"/>
    <col min="12807" max="12809" width="6.42578125" style="35" customWidth="1"/>
    <col min="12810" max="12811" width="18.85546875" style="35" customWidth="1"/>
    <col min="12812" max="13056" width="9.140625" style="35"/>
    <col min="13057" max="13057" width="62" style="35" customWidth="1"/>
    <col min="13058" max="13058" width="25" style="35" customWidth="1"/>
    <col min="13059" max="13059" width="24.85546875" style="35" customWidth="1"/>
    <col min="13060" max="13062" width="5.28515625" style="35" customWidth="1"/>
    <col min="13063" max="13065" width="6.42578125" style="35" customWidth="1"/>
    <col min="13066" max="13067" width="18.85546875" style="35" customWidth="1"/>
    <col min="13068" max="13312" width="9.140625" style="35"/>
    <col min="13313" max="13313" width="62" style="35" customWidth="1"/>
    <col min="13314" max="13314" width="25" style="35" customWidth="1"/>
    <col min="13315" max="13315" width="24.85546875" style="35" customWidth="1"/>
    <col min="13316" max="13318" width="5.28515625" style="35" customWidth="1"/>
    <col min="13319" max="13321" width="6.42578125" style="35" customWidth="1"/>
    <col min="13322" max="13323" width="18.85546875" style="35" customWidth="1"/>
    <col min="13324" max="13568" width="9.140625" style="35"/>
    <col min="13569" max="13569" width="62" style="35" customWidth="1"/>
    <col min="13570" max="13570" width="25" style="35" customWidth="1"/>
    <col min="13571" max="13571" width="24.85546875" style="35" customWidth="1"/>
    <col min="13572" max="13574" width="5.28515625" style="35" customWidth="1"/>
    <col min="13575" max="13577" width="6.42578125" style="35" customWidth="1"/>
    <col min="13578" max="13579" width="18.85546875" style="35" customWidth="1"/>
    <col min="13580" max="13824" width="9.140625" style="35"/>
    <col min="13825" max="13825" width="62" style="35" customWidth="1"/>
    <col min="13826" max="13826" width="25" style="35" customWidth="1"/>
    <col min="13827" max="13827" width="24.85546875" style="35" customWidth="1"/>
    <col min="13828" max="13830" width="5.28515625" style="35" customWidth="1"/>
    <col min="13831" max="13833" width="6.42578125" style="35" customWidth="1"/>
    <col min="13834" max="13835" width="18.85546875" style="35" customWidth="1"/>
    <col min="13836" max="14080" width="9.140625" style="35"/>
    <col min="14081" max="14081" width="62" style="35" customWidth="1"/>
    <col min="14082" max="14082" width="25" style="35" customWidth="1"/>
    <col min="14083" max="14083" width="24.85546875" style="35" customWidth="1"/>
    <col min="14084" max="14086" width="5.28515625" style="35" customWidth="1"/>
    <col min="14087" max="14089" width="6.42578125" style="35" customWidth="1"/>
    <col min="14090" max="14091" width="18.85546875" style="35" customWidth="1"/>
    <col min="14092" max="14336" width="9.140625" style="35"/>
    <col min="14337" max="14337" width="62" style="35" customWidth="1"/>
    <col min="14338" max="14338" width="25" style="35" customWidth="1"/>
    <col min="14339" max="14339" width="24.85546875" style="35" customWidth="1"/>
    <col min="14340" max="14342" width="5.28515625" style="35" customWidth="1"/>
    <col min="14343" max="14345" width="6.42578125" style="35" customWidth="1"/>
    <col min="14346" max="14347" width="18.85546875" style="35" customWidth="1"/>
    <col min="14348" max="14592" width="9.140625" style="35"/>
    <col min="14593" max="14593" width="62" style="35" customWidth="1"/>
    <col min="14594" max="14594" width="25" style="35" customWidth="1"/>
    <col min="14595" max="14595" width="24.85546875" style="35" customWidth="1"/>
    <col min="14596" max="14598" width="5.28515625" style="35" customWidth="1"/>
    <col min="14599" max="14601" width="6.42578125" style="35" customWidth="1"/>
    <col min="14602" max="14603" width="18.85546875" style="35" customWidth="1"/>
    <col min="14604" max="14848" width="9.140625" style="35"/>
    <col min="14849" max="14849" width="62" style="35" customWidth="1"/>
    <col min="14850" max="14850" width="25" style="35" customWidth="1"/>
    <col min="14851" max="14851" width="24.85546875" style="35" customWidth="1"/>
    <col min="14852" max="14854" width="5.28515625" style="35" customWidth="1"/>
    <col min="14855" max="14857" width="6.42578125" style="35" customWidth="1"/>
    <col min="14858" max="14859" width="18.85546875" style="35" customWidth="1"/>
    <col min="14860" max="15104" width="9.140625" style="35"/>
    <col min="15105" max="15105" width="62" style="35" customWidth="1"/>
    <col min="15106" max="15106" width="25" style="35" customWidth="1"/>
    <col min="15107" max="15107" width="24.85546875" style="35" customWidth="1"/>
    <col min="15108" max="15110" width="5.28515625" style="35" customWidth="1"/>
    <col min="15111" max="15113" width="6.42578125" style="35" customWidth="1"/>
    <col min="15114" max="15115" width="18.85546875" style="35" customWidth="1"/>
    <col min="15116" max="15360" width="9.140625" style="35"/>
    <col min="15361" max="15361" width="62" style="35" customWidth="1"/>
    <col min="15362" max="15362" width="25" style="35" customWidth="1"/>
    <col min="15363" max="15363" width="24.85546875" style="35" customWidth="1"/>
    <col min="15364" max="15366" width="5.28515625" style="35" customWidth="1"/>
    <col min="15367" max="15369" width="6.42578125" style="35" customWidth="1"/>
    <col min="15370" max="15371" width="18.85546875" style="35" customWidth="1"/>
    <col min="15372" max="15616" width="9.140625" style="35"/>
    <col min="15617" max="15617" width="62" style="35" customWidth="1"/>
    <col min="15618" max="15618" width="25" style="35" customWidth="1"/>
    <col min="15619" max="15619" width="24.85546875" style="35" customWidth="1"/>
    <col min="15620" max="15622" width="5.28515625" style="35" customWidth="1"/>
    <col min="15623" max="15625" width="6.42578125" style="35" customWidth="1"/>
    <col min="15626" max="15627" width="18.85546875" style="35" customWidth="1"/>
    <col min="15628" max="15872" width="9.140625" style="35"/>
    <col min="15873" max="15873" width="62" style="35" customWidth="1"/>
    <col min="15874" max="15874" width="25" style="35" customWidth="1"/>
    <col min="15875" max="15875" width="24.85546875" style="35" customWidth="1"/>
    <col min="15876" max="15878" width="5.28515625" style="35" customWidth="1"/>
    <col min="15879" max="15881" width="6.42578125" style="35" customWidth="1"/>
    <col min="15882" max="15883" width="18.85546875" style="35" customWidth="1"/>
    <col min="15884" max="16128" width="9.140625" style="35"/>
    <col min="16129" max="16129" width="62" style="35" customWidth="1"/>
    <col min="16130" max="16130" width="25" style="35" customWidth="1"/>
    <col min="16131" max="16131" width="24.85546875" style="35" customWidth="1"/>
    <col min="16132" max="16134" width="5.28515625" style="35" customWidth="1"/>
    <col min="16135" max="16137" width="6.42578125" style="35" customWidth="1"/>
    <col min="16138" max="16139" width="18.85546875" style="35" customWidth="1"/>
    <col min="16140" max="16384" width="9.140625" style="35"/>
  </cols>
  <sheetData>
    <row r="1" spans="1:11">
      <c r="A1" s="96" t="s">
        <v>45</v>
      </c>
    </row>
    <row r="2" spans="1:11" ht="16.5">
      <c r="A2" s="79" t="s">
        <v>1</v>
      </c>
    </row>
    <row r="3" spans="1:11">
      <c r="A3" s="97" t="s">
        <v>46</v>
      </c>
    </row>
    <row r="4" spans="1:11">
      <c r="A4" s="97" t="s">
        <v>47</v>
      </c>
    </row>
    <row r="5" spans="1:11">
      <c r="A5" s="98" t="s">
        <v>48</v>
      </c>
    </row>
    <row r="6" spans="1:11" ht="15.4" customHeight="1">
      <c r="A6" s="116" t="s">
        <v>49</v>
      </c>
      <c r="B6" s="117"/>
      <c r="C6" s="117"/>
      <c r="D6" s="117"/>
      <c r="E6" s="117"/>
      <c r="F6" s="117"/>
      <c r="G6" s="117"/>
      <c r="H6" s="117"/>
      <c r="I6" s="117"/>
      <c r="J6" s="117"/>
      <c r="K6" s="117"/>
    </row>
    <row r="7" spans="1:11" ht="15.4" customHeight="1" outlineLevel="1">
      <c r="A7" s="116" t="s">
        <v>50</v>
      </c>
      <c r="B7" s="117"/>
      <c r="C7" s="117"/>
      <c r="D7" s="117"/>
      <c r="E7" s="117"/>
      <c r="F7" s="117"/>
      <c r="G7" s="117"/>
      <c r="H7" s="117"/>
      <c r="I7" s="117"/>
      <c r="J7" s="117"/>
      <c r="K7" s="117"/>
    </row>
    <row r="8" spans="1:11" ht="15.4" customHeight="1" outlineLevel="2">
      <c r="A8" s="116" t="s">
        <v>51</v>
      </c>
      <c r="B8" s="117"/>
      <c r="C8" s="117"/>
      <c r="D8" s="117"/>
      <c r="E8" s="117"/>
      <c r="F8" s="117"/>
      <c r="G8" s="117"/>
      <c r="H8" s="117"/>
      <c r="I8" s="117"/>
      <c r="J8" s="117"/>
      <c r="K8" s="117"/>
    </row>
    <row r="9" spans="1:11" outlineLevel="3">
      <c r="A9" s="99" t="s">
        <v>8</v>
      </c>
      <c r="B9" s="99" t="s">
        <v>9</v>
      </c>
      <c r="C9" s="99" t="s">
        <v>10</v>
      </c>
      <c r="D9" s="99" t="s">
        <v>11</v>
      </c>
      <c r="E9" s="99" t="s">
        <v>12</v>
      </c>
      <c r="F9" s="99" t="s">
        <v>13</v>
      </c>
      <c r="G9" s="99" t="s">
        <v>14</v>
      </c>
      <c r="H9" s="99" t="s">
        <v>15</v>
      </c>
      <c r="I9" s="99" t="s">
        <v>16</v>
      </c>
      <c r="J9" s="99" t="s">
        <v>17</v>
      </c>
      <c r="K9" s="99" t="s">
        <v>18</v>
      </c>
    </row>
    <row r="10" spans="1:11" outlineLevel="3">
      <c r="A10" s="100">
        <v>45411</v>
      </c>
      <c r="B10" s="101" t="s">
        <v>52</v>
      </c>
      <c r="C10" s="101" t="s">
        <v>52</v>
      </c>
      <c r="D10" s="102">
        <v>8.6</v>
      </c>
      <c r="E10" s="102">
        <v>8.6</v>
      </c>
      <c r="F10" s="102">
        <v>7.8</v>
      </c>
      <c r="G10" s="102">
        <v>0.8</v>
      </c>
      <c r="H10" s="102">
        <v>5.58</v>
      </c>
      <c r="I10" s="102">
        <v>17.579999999999998</v>
      </c>
      <c r="J10" s="36" t="s">
        <v>20</v>
      </c>
      <c r="K10" s="36" t="s">
        <v>20</v>
      </c>
    </row>
    <row r="11" spans="1:11" outlineLevel="3">
      <c r="A11" s="100">
        <v>45412</v>
      </c>
      <c r="B11" s="101" t="s">
        <v>53</v>
      </c>
      <c r="C11" s="101" t="s">
        <v>53</v>
      </c>
      <c r="D11" s="102">
        <v>8.6</v>
      </c>
      <c r="E11" s="102">
        <v>8.6</v>
      </c>
      <c r="F11" s="102">
        <v>7.8</v>
      </c>
      <c r="G11" s="102">
        <v>0.8</v>
      </c>
      <c r="H11" s="102">
        <v>6.38</v>
      </c>
      <c r="I11" s="102">
        <v>18.38</v>
      </c>
      <c r="J11" s="36" t="s">
        <v>20</v>
      </c>
      <c r="K11" s="36" t="s">
        <v>20</v>
      </c>
    </row>
    <row r="12" spans="1:11" outlineLevel="3">
      <c r="A12" s="100">
        <v>45413</v>
      </c>
      <c r="B12" s="103"/>
      <c r="C12" s="103"/>
      <c r="D12" s="102">
        <v>0</v>
      </c>
      <c r="E12" s="102">
        <v>0</v>
      </c>
      <c r="F12" s="102">
        <v>7.8</v>
      </c>
      <c r="G12" s="102">
        <v>0</v>
      </c>
      <c r="H12" s="102">
        <v>0</v>
      </c>
      <c r="I12" s="102">
        <v>12</v>
      </c>
      <c r="J12" s="36" t="s">
        <v>54</v>
      </c>
      <c r="K12" s="36" t="s">
        <v>20</v>
      </c>
    </row>
    <row r="13" spans="1:11" outlineLevel="3">
      <c r="A13" s="100">
        <v>45414</v>
      </c>
      <c r="B13" s="103"/>
      <c r="C13" s="103"/>
      <c r="D13" s="102">
        <v>0</v>
      </c>
      <c r="E13" s="102">
        <v>0</v>
      </c>
      <c r="F13" s="102">
        <v>7.8</v>
      </c>
      <c r="G13" s="102">
        <v>0</v>
      </c>
      <c r="H13" s="102">
        <v>0</v>
      </c>
      <c r="I13" s="102">
        <v>12</v>
      </c>
      <c r="J13" s="36" t="s">
        <v>55</v>
      </c>
      <c r="K13" s="36" t="s">
        <v>20</v>
      </c>
    </row>
    <row r="14" spans="1:11" outlineLevel="3">
      <c r="A14" s="100">
        <v>45415</v>
      </c>
      <c r="B14" s="103"/>
      <c r="C14" s="103"/>
      <c r="D14" s="102">
        <v>0</v>
      </c>
      <c r="E14" s="102">
        <v>0</v>
      </c>
      <c r="F14" s="102">
        <v>7.8</v>
      </c>
      <c r="G14" s="102">
        <v>0</v>
      </c>
      <c r="H14" s="102">
        <v>0</v>
      </c>
      <c r="I14" s="102">
        <v>12</v>
      </c>
      <c r="J14" s="36" t="s">
        <v>55</v>
      </c>
      <c r="K14" s="36" t="s">
        <v>20</v>
      </c>
    </row>
    <row r="15" spans="1:11" outlineLevel="3">
      <c r="A15" s="100">
        <v>45416</v>
      </c>
      <c r="B15" s="103"/>
      <c r="C15" s="103"/>
      <c r="D15" s="102">
        <v>0</v>
      </c>
      <c r="E15" s="102">
        <v>0</v>
      </c>
      <c r="F15" s="102">
        <v>0</v>
      </c>
      <c r="G15" s="102">
        <v>0</v>
      </c>
      <c r="H15" s="102">
        <v>0</v>
      </c>
      <c r="I15" s="102">
        <v>12</v>
      </c>
      <c r="J15" s="36" t="s">
        <v>20</v>
      </c>
      <c r="K15" s="36" t="s">
        <v>20</v>
      </c>
    </row>
    <row r="16" spans="1:11" outlineLevel="3">
      <c r="A16" s="100">
        <v>45416</v>
      </c>
      <c r="B16" s="103"/>
      <c r="C16" s="103"/>
      <c r="D16" s="102">
        <v>0</v>
      </c>
      <c r="E16" s="102">
        <v>0</v>
      </c>
      <c r="F16" s="102">
        <v>0</v>
      </c>
      <c r="G16" s="102">
        <v>0</v>
      </c>
      <c r="H16" s="102">
        <v>0</v>
      </c>
      <c r="I16" s="102">
        <v>12</v>
      </c>
      <c r="J16" s="36" t="s">
        <v>20</v>
      </c>
      <c r="K16" s="36" t="s">
        <v>20</v>
      </c>
    </row>
    <row r="17" spans="1:11" outlineLevel="3">
      <c r="A17" s="100">
        <v>45416</v>
      </c>
      <c r="B17" s="103"/>
      <c r="C17" s="103"/>
      <c r="D17" s="102">
        <v>0</v>
      </c>
      <c r="E17" s="102">
        <v>0</v>
      </c>
      <c r="F17" s="102">
        <v>0</v>
      </c>
      <c r="G17" s="102">
        <v>0</v>
      </c>
      <c r="H17" s="102">
        <v>0</v>
      </c>
      <c r="I17" s="102">
        <v>12</v>
      </c>
      <c r="J17" s="36" t="s">
        <v>20</v>
      </c>
      <c r="K17" s="36" t="s">
        <v>20</v>
      </c>
    </row>
    <row r="18" spans="1:11" outlineLevel="3">
      <c r="A18" s="100">
        <v>45416</v>
      </c>
      <c r="B18" s="103"/>
      <c r="C18" s="103"/>
      <c r="D18" s="102">
        <v>0</v>
      </c>
      <c r="E18" s="102">
        <v>0</v>
      </c>
      <c r="F18" s="102">
        <v>0</v>
      </c>
      <c r="G18" s="102">
        <v>0</v>
      </c>
      <c r="H18" s="102">
        <v>0</v>
      </c>
      <c r="I18" s="102">
        <v>12</v>
      </c>
      <c r="J18" s="36" t="s">
        <v>20</v>
      </c>
      <c r="K18" s="36" t="s">
        <v>20</v>
      </c>
    </row>
    <row r="19" spans="1:11" outlineLevel="3">
      <c r="A19" s="100">
        <v>45417</v>
      </c>
      <c r="B19" s="103"/>
      <c r="C19" s="103"/>
      <c r="D19" s="102">
        <v>0</v>
      </c>
      <c r="E19" s="102">
        <v>0</v>
      </c>
      <c r="F19" s="102">
        <v>0</v>
      </c>
      <c r="G19" s="102">
        <v>0</v>
      </c>
      <c r="H19" s="102">
        <v>0</v>
      </c>
      <c r="I19" s="102">
        <v>12</v>
      </c>
      <c r="J19" s="36" t="s">
        <v>20</v>
      </c>
      <c r="K19" s="36" t="s">
        <v>20</v>
      </c>
    </row>
    <row r="20" spans="1:11" outlineLevel="3">
      <c r="A20" s="100">
        <v>45417</v>
      </c>
      <c r="B20" s="103"/>
      <c r="C20" s="103"/>
      <c r="D20" s="102">
        <v>0</v>
      </c>
      <c r="E20" s="102">
        <v>0</v>
      </c>
      <c r="F20" s="102">
        <v>0</v>
      </c>
      <c r="G20" s="102">
        <v>0</v>
      </c>
      <c r="H20" s="102">
        <v>0</v>
      </c>
      <c r="I20" s="102">
        <v>12</v>
      </c>
      <c r="J20" s="36" t="s">
        <v>20</v>
      </c>
      <c r="K20" s="36" t="s">
        <v>20</v>
      </c>
    </row>
    <row r="21" spans="1:11" outlineLevel="3">
      <c r="A21" s="100">
        <v>45417</v>
      </c>
      <c r="B21" s="103"/>
      <c r="C21" s="103"/>
      <c r="D21" s="102">
        <v>0</v>
      </c>
      <c r="E21" s="102">
        <v>0</v>
      </c>
      <c r="F21" s="102">
        <v>0</v>
      </c>
      <c r="G21" s="102">
        <v>0</v>
      </c>
      <c r="H21" s="102">
        <v>0</v>
      </c>
      <c r="I21" s="102">
        <v>12</v>
      </c>
      <c r="J21" s="36" t="s">
        <v>20</v>
      </c>
      <c r="K21" s="36" t="s">
        <v>20</v>
      </c>
    </row>
    <row r="22" spans="1:11" outlineLevel="3">
      <c r="A22" s="100">
        <v>45417</v>
      </c>
      <c r="B22" s="103"/>
      <c r="C22" s="103"/>
      <c r="D22" s="102">
        <v>0</v>
      </c>
      <c r="E22" s="102">
        <v>0</v>
      </c>
      <c r="F22" s="102">
        <v>0</v>
      </c>
      <c r="G22" s="102">
        <v>0</v>
      </c>
      <c r="H22" s="102">
        <v>0</v>
      </c>
      <c r="I22" s="102">
        <v>12</v>
      </c>
      <c r="J22" s="36" t="s">
        <v>20</v>
      </c>
      <c r="K22" s="36" t="s">
        <v>20</v>
      </c>
    </row>
    <row r="23" spans="1:11" outlineLevel="3">
      <c r="A23" s="85" t="s">
        <v>26</v>
      </c>
      <c r="B23" s="85"/>
      <c r="C23" s="85"/>
      <c r="D23" s="104">
        <v>17.2</v>
      </c>
      <c r="E23" s="104">
        <v>17.2</v>
      </c>
      <c r="F23" s="104">
        <v>39</v>
      </c>
      <c r="G23" s="85"/>
      <c r="H23" s="85"/>
      <c r="I23" s="85"/>
      <c r="J23" s="85"/>
      <c r="K23" s="85"/>
    </row>
    <row r="24" spans="1:11" outlineLevel="3">
      <c r="A24" s="105" t="s">
        <v>20</v>
      </c>
      <c r="B24" s="105"/>
      <c r="C24" s="105"/>
      <c r="D24" s="105"/>
      <c r="E24" s="105"/>
      <c r="F24" s="105"/>
      <c r="G24" s="105"/>
      <c r="H24" s="105"/>
      <c r="I24" s="105"/>
      <c r="J24" s="105"/>
      <c r="K24" s="105"/>
    </row>
    <row r="25" spans="1:11" ht="15.4" customHeight="1" outlineLevel="2">
      <c r="A25" s="116" t="s">
        <v>56</v>
      </c>
      <c r="B25" s="117"/>
      <c r="C25" s="117"/>
      <c r="D25" s="117"/>
      <c r="E25" s="117"/>
      <c r="F25" s="117"/>
      <c r="G25" s="117"/>
      <c r="H25" s="117"/>
      <c r="I25" s="117"/>
      <c r="J25" s="117"/>
      <c r="K25" s="117"/>
    </row>
    <row r="26" spans="1:11" outlineLevel="3">
      <c r="A26" s="99" t="s">
        <v>8</v>
      </c>
      <c r="B26" s="99" t="s">
        <v>9</v>
      </c>
      <c r="C26" s="99" t="s">
        <v>10</v>
      </c>
      <c r="D26" s="99" t="s">
        <v>11</v>
      </c>
      <c r="E26" s="99" t="s">
        <v>12</v>
      </c>
      <c r="F26" s="99" t="s">
        <v>13</v>
      </c>
      <c r="G26" s="99" t="s">
        <v>14</v>
      </c>
      <c r="H26" s="99" t="s">
        <v>15</v>
      </c>
      <c r="I26" s="99" t="s">
        <v>16</v>
      </c>
      <c r="J26" s="99" t="s">
        <v>17</v>
      </c>
      <c r="K26" s="99" t="s">
        <v>18</v>
      </c>
    </row>
    <row r="27" spans="1:11" outlineLevel="3">
      <c r="A27" s="100">
        <v>45418</v>
      </c>
      <c r="B27" s="101" t="s">
        <v>57</v>
      </c>
      <c r="C27" s="101" t="s">
        <v>57</v>
      </c>
      <c r="D27" s="102">
        <v>8.73</v>
      </c>
      <c r="E27" s="102">
        <v>8.73</v>
      </c>
      <c r="F27" s="102">
        <v>7.8</v>
      </c>
      <c r="G27" s="102">
        <v>0.93</v>
      </c>
      <c r="H27" s="102">
        <v>0.93</v>
      </c>
      <c r="I27" s="102">
        <v>12.93</v>
      </c>
      <c r="J27" s="36" t="s">
        <v>20</v>
      </c>
      <c r="K27" s="36" t="s">
        <v>20</v>
      </c>
    </row>
    <row r="28" spans="1:11" outlineLevel="3">
      <c r="A28" s="100">
        <v>45419</v>
      </c>
      <c r="B28" s="101" t="s">
        <v>58</v>
      </c>
      <c r="C28" s="101" t="s">
        <v>58</v>
      </c>
      <c r="D28" s="102">
        <v>8.8000000000000007</v>
      </c>
      <c r="E28" s="102">
        <v>8.8000000000000007</v>
      </c>
      <c r="F28" s="102">
        <v>7.8</v>
      </c>
      <c r="G28" s="102">
        <v>1</v>
      </c>
      <c r="H28" s="102">
        <v>1.93</v>
      </c>
      <c r="I28" s="102">
        <v>13.93</v>
      </c>
      <c r="J28" s="36" t="s">
        <v>20</v>
      </c>
      <c r="K28" s="36" t="s">
        <v>20</v>
      </c>
    </row>
    <row r="29" spans="1:11" outlineLevel="3">
      <c r="A29" s="100">
        <v>45420</v>
      </c>
      <c r="B29" s="103"/>
      <c r="C29" s="103"/>
      <c r="D29" s="102">
        <v>0</v>
      </c>
      <c r="E29" s="102">
        <v>0</v>
      </c>
      <c r="F29" s="102">
        <v>7.8</v>
      </c>
      <c r="G29" s="102">
        <v>0</v>
      </c>
      <c r="H29" s="102">
        <v>1.93</v>
      </c>
      <c r="I29" s="102">
        <v>13.93</v>
      </c>
      <c r="J29" s="36" t="s">
        <v>54</v>
      </c>
      <c r="K29" s="36" t="s">
        <v>20</v>
      </c>
    </row>
    <row r="30" spans="1:11" outlineLevel="3">
      <c r="A30" s="100">
        <v>45421</v>
      </c>
      <c r="B30" s="103"/>
      <c r="C30" s="103"/>
      <c r="D30" s="102">
        <v>0</v>
      </c>
      <c r="E30" s="102">
        <v>0</v>
      </c>
      <c r="F30" s="102">
        <v>7.8</v>
      </c>
      <c r="G30" s="102">
        <v>0</v>
      </c>
      <c r="H30" s="102">
        <v>1.93</v>
      </c>
      <c r="I30" s="102">
        <v>13.93</v>
      </c>
      <c r="J30" s="36" t="s">
        <v>54</v>
      </c>
      <c r="K30" s="36" t="s">
        <v>20</v>
      </c>
    </row>
    <row r="31" spans="1:11" outlineLevel="3">
      <c r="A31" s="100">
        <v>45422</v>
      </c>
      <c r="B31" s="103"/>
      <c r="C31" s="103"/>
      <c r="D31" s="102">
        <v>0</v>
      </c>
      <c r="E31" s="102">
        <v>0</v>
      </c>
      <c r="F31" s="102">
        <v>7.8</v>
      </c>
      <c r="G31" s="102">
        <v>0</v>
      </c>
      <c r="H31" s="102">
        <v>1.93</v>
      </c>
      <c r="I31" s="102">
        <v>13.93</v>
      </c>
      <c r="J31" s="36" t="s">
        <v>59</v>
      </c>
      <c r="K31" s="36" t="s">
        <v>20</v>
      </c>
    </row>
    <row r="32" spans="1:11" outlineLevel="3">
      <c r="A32" s="100">
        <v>45423</v>
      </c>
      <c r="B32" s="103"/>
      <c r="C32" s="103"/>
      <c r="D32" s="102">
        <v>0</v>
      </c>
      <c r="E32" s="102">
        <v>0</v>
      </c>
      <c r="F32" s="102">
        <v>0</v>
      </c>
      <c r="G32" s="102">
        <v>0</v>
      </c>
      <c r="H32" s="102">
        <v>1.93</v>
      </c>
      <c r="I32" s="102">
        <v>13.93</v>
      </c>
      <c r="J32" s="36" t="s">
        <v>20</v>
      </c>
      <c r="K32" s="36" t="s">
        <v>20</v>
      </c>
    </row>
    <row r="33" spans="1:11" outlineLevel="3">
      <c r="A33" s="100">
        <v>45424</v>
      </c>
      <c r="B33" s="103"/>
      <c r="C33" s="103"/>
      <c r="D33" s="102">
        <v>0</v>
      </c>
      <c r="E33" s="102">
        <v>0</v>
      </c>
      <c r="F33" s="102">
        <v>0</v>
      </c>
      <c r="G33" s="102">
        <v>0</v>
      </c>
      <c r="H33" s="102">
        <v>1.93</v>
      </c>
      <c r="I33" s="102">
        <v>13.93</v>
      </c>
      <c r="J33" s="36" t="s">
        <v>20</v>
      </c>
      <c r="K33" s="36" t="s">
        <v>20</v>
      </c>
    </row>
    <row r="34" spans="1:11" outlineLevel="3">
      <c r="A34" s="85" t="s">
        <v>26</v>
      </c>
      <c r="B34" s="85"/>
      <c r="C34" s="85"/>
      <c r="D34" s="104">
        <v>17.53</v>
      </c>
      <c r="E34" s="104">
        <v>17.53</v>
      </c>
      <c r="F34" s="104">
        <v>39</v>
      </c>
      <c r="G34" s="85"/>
      <c r="H34" s="85"/>
      <c r="I34" s="85"/>
      <c r="J34" s="85"/>
      <c r="K34" s="85"/>
    </row>
    <row r="35" spans="1:11" outlineLevel="3">
      <c r="A35" s="105" t="s">
        <v>20</v>
      </c>
      <c r="B35" s="105"/>
      <c r="C35" s="105"/>
      <c r="D35" s="105"/>
      <c r="E35" s="105"/>
      <c r="F35" s="105"/>
      <c r="G35" s="105"/>
      <c r="H35" s="105"/>
      <c r="I35" s="105"/>
      <c r="J35" s="105"/>
      <c r="K35" s="105"/>
    </row>
    <row r="36" spans="1:11" ht="15.4" customHeight="1" outlineLevel="2">
      <c r="A36" s="116" t="s">
        <v>60</v>
      </c>
      <c r="B36" s="117"/>
      <c r="C36" s="117"/>
      <c r="D36" s="117"/>
      <c r="E36" s="117"/>
      <c r="F36" s="117"/>
      <c r="G36" s="117"/>
      <c r="H36" s="117"/>
      <c r="I36" s="117"/>
      <c r="J36" s="117"/>
      <c r="K36" s="117"/>
    </row>
    <row r="37" spans="1:11" outlineLevel="3">
      <c r="A37" s="99" t="s">
        <v>8</v>
      </c>
      <c r="B37" s="99" t="s">
        <v>9</v>
      </c>
      <c r="C37" s="99" t="s">
        <v>10</v>
      </c>
      <c r="D37" s="99" t="s">
        <v>11</v>
      </c>
      <c r="E37" s="99" t="s">
        <v>12</v>
      </c>
      <c r="F37" s="99" t="s">
        <v>13</v>
      </c>
      <c r="G37" s="99" t="s">
        <v>14</v>
      </c>
      <c r="H37" s="99" t="s">
        <v>15</v>
      </c>
      <c r="I37" s="99" t="s">
        <v>16</v>
      </c>
      <c r="J37" s="99" t="s">
        <v>17</v>
      </c>
      <c r="K37" s="99" t="s">
        <v>18</v>
      </c>
    </row>
    <row r="38" spans="1:11" outlineLevel="3">
      <c r="A38" s="100">
        <v>45425</v>
      </c>
      <c r="B38" s="101" t="s">
        <v>61</v>
      </c>
      <c r="C38" s="101" t="s">
        <v>61</v>
      </c>
      <c r="D38" s="102">
        <v>7.9</v>
      </c>
      <c r="E38" s="102">
        <v>7.9</v>
      </c>
      <c r="F38" s="102">
        <v>7.8</v>
      </c>
      <c r="G38" s="102">
        <v>0.1</v>
      </c>
      <c r="H38" s="102">
        <v>2.0299999999999998</v>
      </c>
      <c r="I38" s="102">
        <v>14.03</v>
      </c>
      <c r="J38" s="36" t="s">
        <v>20</v>
      </c>
      <c r="K38" s="36" t="s">
        <v>20</v>
      </c>
    </row>
    <row r="39" spans="1:11" outlineLevel="3">
      <c r="A39" s="100">
        <v>45426</v>
      </c>
      <c r="B39" s="101" t="s">
        <v>62</v>
      </c>
      <c r="C39" s="101" t="s">
        <v>62</v>
      </c>
      <c r="D39" s="102">
        <v>9.32</v>
      </c>
      <c r="E39" s="102">
        <v>9.32</v>
      </c>
      <c r="F39" s="102">
        <v>7.8</v>
      </c>
      <c r="G39" s="102">
        <v>1.52</v>
      </c>
      <c r="H39" s="102">
        <v>3.55</v>
      </c>
      <c r="I39" s="102">
        <v>15.55</v>
      </c>
      <c r="J39" s="36" t="s">
        <v>20</v>
      </c>
      <c r="K39" s="36" t="s">
        <v>20</v>
      </c>
    </row>
    <row r="40" spans="1:11" outlineLevel="3">
      <c r="A40" s="100">
        <v>45427</v>
      </c>
      <c r="B40" s="101" t="s">
        <v>63</v>
      </c>
      <c r="C40" s="101" t="s">
        <v>63</v>
      </c>
      <c r="D40" s="102">
        <v>8.33</v>
      </c>
      <c r="E40" s="102">
        <v>8.33</v>
      </c>
      <c r="F40" s="102">
        <v>7.8</v>
      </c>
      <c r="G40" s="102">
        <v>0.53</v>
      </c>
      <c r="H40" s="102">
        <v>4.08</v>
      </c>
      <c r="I40" s="102">
        <v>16.079999999999998</v>
      </c>
      <c r="J40" s="36" t="s">
        <v>20</v>
      </c>
      <c r="K40" s="36" t="s">
        <v>20</v>
      </c>
    </row>
    <row r="41" spans="1:11" outlineLevel="3">
      <c r="A41" s="100">
        <v>45428</v>
      </c>
      <c r="B41" s="101" t="s">
        <v>64</v>
      </c>
      <c r="C41" s="101" t="s">
        <v>64</v>
      </c>
      <c r="D41" s="102">
        <v>8.4499999999999993</v>
      </c>
      <c r="E41" s="102">
        <v>8.4499999999999993</v>
      </c>
      <c r="F41" s="102">
        <v>7.8</v>
      </c>
      <c r="G41" s="102">
        <v>0.65</v>
      </c>
      <c r="H41" s="102">
        <v>4.7300000000000004</v>
      </c>
      <c r="I41" s="102">
        <v>16.73</v>
      </c>
      <c r="J41" s="36" t="s">
        <v>20</v>
      </c>
      <c r="K41" s="36" t="s">
        <v>20</v>
      </c>
    </row>
    <row r="42" spans="1:11" outlineLevel="3">
      <c r="A42" s="100">
        <v>45429</v>
      </c>
      <c r="B42" s="101" t="s">
        <v>65</v>
      </c>
      <c r="C42" s="101" t="s">
        <v>65</v>
      </c>
      <c r="D42" s="102">
        <v>7.3</v>
      </c>
      <c r="E42" s="102">
        <v>7.3</v>
      </c>
      <c r="F42" s="102">
        <v>7.8</v>
      </c>
      <c r="G42" s="102">
        <v>-0.5</v>
      </c>
      <c r="H42" s="102">
        <v>4.2300000000000004</v>
      </c>
      <c r="I42" s="102">
        <v>16.23</v>
      </c>
      <c r="J42" s="36" t="s">
        <v>20</v>
      </c>
      <c r="K42" s="36" t="s">
        <v>20</v>
      </c>
    </row>
    <row r="43" spans="1:11" outlineLevel="3">
      <c r="A43" s="100">
        <v>45430</v>
      </c>
      <c r="B43" s="103"/>
      <c r="C43" s="103"/>
      <c r="D43" s="102">
        <v>0</v>
      </c>
      <c r="E43" s="102">
        <v>0</v>
      </c>
      <c r="F43" s="102">
        <v>0</v>
      </c>
      <c r="G43" s="102">
        <v>0</v>
      </c>
      <c r="H43" s="102">
        <v>4.2300000000000004</v>
      </c>
      <c r="I43" s="102">
        <v>16.23</v>
      </c>
      <c r="J43" s="36" t="s">
        <v>20</v>
      </c>
      <c r="K43" s="36" t="s">
        <v>20</v>
      </c>
    </row>
    <row r="44" spans="1:11" outlineLevel="3">
      <c r="A44" s="100">
        <v>45430</v>
      </c>
      <c r="B44" s="103"/>
      <c r="C44" s="103"/>
      <c r="D44" s="102">
        <v>0</v>
      </c>
      <c r="E44" s="102">
        <v>0</v>
      </c>
      <c r="F44" s="102">
        <v>0</v>
      </c>
      <c r="G44" s="102">
        <v>0</v>
      </c>
      <c r="H44" s="102">
        <v>4.2300000000000004</v>
      </c>
      <c r="I44" s="102">
        <v>16.23</v>
      </c>
      <c r="J44" s="36" t="s">
        <v>20</v>
      </c>
      <c r="K44" s="36" t="s">
        <v>20</v>
      </c>
    </row>
    <row r="45" spans="1:11" outlineLevel="3">
      <c r="A45" s="100">
        <v>45430</v>
      </c>
      <c r="B45" s="103"/>
      <c r="C45" s="103"/>
      <c r="D45" s="102">
        <v>0</v>
      </c>
      <c r="E45" s="102">
        <v>0</v>
      </c>
      <c r="F45" s="102">
        <v>0</v>
      </c>
      <c r="G45" s="102">
        <v>0</v>
      </c>
      <c r="H45" s="102">
        <v>4.2300000000000004</v>
      </c>
      <c r="I45" s="102">
        <v>16.23</v>
      </c>
      <c r="J45" s="36" t="s">
        <v>20</v>
      </c>
      <c r="K45" s="36" t="s">
        <v>20</v>
      </c>
    </row>
    <row r="46" spans="1:11" outlineLevel="3">
      <c r="A46" s="100">
        <v>45430</v>
      </c>
      <c r="B46" s="103"/>
      <c r="C46" s="103"/>
      <c r="D46" s="102">
        <v>0</v>
      </c>
      <c r="E46" s="102">
        <v>0</v>
      </c>
      <c r="F46" s="102">
        <v>0</v>
      </c>
      <c r="G46" s="102">
        <v>0</v>
      </c>
      <c r="H46" s="102">
        <v>4.2300000000000004</v>
      </c>
      <c r="I46" s="102">
        <v>16.23</v>
      </c>
      <c r="J46" s="36" t="s">
        <v>20</v>
      </c>
      <c r="K46" s="36" t="s">
        <v>20</v>
      </c>
    </row>
    <row r="47" spans="1:11" outlineLevel="3">
      <c r="A47" s="100">
        <v>45431</v>
      </c>
      <c r="B47" s="103"/>
      <c r="C47" s="103"/>
      <c r="D47" s="102">
        <v>0</v>
      </c>
      <c r="E47" s="102">
        <v>0</v>
      </c>
      <c r="F47" s="102">
        <v>0</v>
      </c>
      <c r="G47" s="102">
        <v>0</v>
      </c>
      <c r="H47" s="102">
        <v>4.2300000000000004</v>
      </c>
      <c r="I47" s="102">
        <v>16.23</v>
      </c>
      <c r="J47" s="36" t="s">
        <v>20</v>
      </c>
      <c r="K47" s="36" t="s">
        <v>20</v>
      </c>
    </row>
    <row r="48" spans="1:11" outlineLevel="3">
      <c r="A48" s="100">
        <v>45431</v>
      </c>
      <c r="B48" s="103"/>
      <c r="C48" s="103"/>
      <c r="D48" s="102">
        <v>0</v>
      </c>
      <c r="E48" s="102">
        <v>0</v>
      </c>
      <c r="F48" s="102">
        <v>0</v>
      </c>
      <c r="G48" s="102">
        <v>0</v>
      </c>
      <c r="H48" s="102">
        <v>4.2300000000000004</v>
      </c>
      <c r="I48" s="102">
        <v>16.23</v>
      </c>
      <c r="J48" s="36" t="s">
        <v>20</v>
      </c>
      <c r="K48" s="36" t="s">
        <v>20</v>
      </c>
    </row>
    <row r="49" spans="1:11" outlineLevel="3">
      <c r="A49" s="100">
        <v>45431</v>
      </c>
      <c r="B49" s="103"/>
      <c r="C49" s="103"/>
      <c r="D49" s="102">
        <v>0</v>
      </c>
      <c r="E49" s="102">
        <v>0</v>
      </c>
      <c r="F49" s="102">
        <v>0</v>
      </c>
      <c r="G49" s="102">
        <v>0</v>
      </c>
      <c r="H49" s="102">
        <v>4.2300000000000004</v>
      </c>
      <c r="I49" s="102">
        <v>16.23</v>
      </c>
      <c r="J49" s="36" t="s">
        <v>20</v>
      </c>
      <c r="K49" s="36" t="s">
        <v>20</v>
      </c>
    </row>
    <row r="50" spans="1:11" outlineLevel="3">
      <c r="A50" s="100">
        <v>45431</v>
      </c>
      <c r="B50" s="103"/>
      <c r="C50" s="103"/>
      <c r="D50" s="102">
        <v>0</v>
      </c>
      <c r="E50" s="102">
        <v>0</v>
      </c>
      <c r="F50" s="102">
        <v>0</v>
      </c>
      <c r="G50" s="102">
        <v>0</v>
      </c>
      <c r="H50" s="102">
        <v>4.2300000000000004</v>
      </c>
      <c r="I50" s="102">
        <v>16.23</v>
      </c>
      <c r="J50" s="36" t="s">
        <v>20</v>
      </c>
      <c r="K50" s="36" t="s">
        <v>20</v>
      </c>
    </row>
    <row r="51" spans="1:11" outlineLevel="3">
      <c r="A51" s="85" t="s">
        <v>26</v>
      </c>
      <c r="B51" s="85"/>
      <c r="C51" s="85"/>
      <c r="D51" s="104">
        <v>41.3</v>
      </c>
      <c r="E51" s="104">
        <v>41.3</v>
      </c>
      <c r="F51" s="104">
        <v>39</v>
      </c>
      <c r="G51" s="85"/>
      <c r="H51" s="85"/>
      <c r="I51" s="85"/>
      <c r="J51" s="85"/>
      <c r="K51" s="85"/>
    </row>
    <row r="52" spans="1:11" outlineLevel="3">
      <c r="A52" s="105" t="s">
        <v>20</v>
      </c>
      <c r="B52" s="105"/>
      <c r="C52" s="105"/>
      <c r="D52" s="105"/>
      <c r="E52" s="105"/>
      <c r="F52" s="105"/>
      <c r="G52" s="105"/>
      <c r="H52" s="105"/>
      <c r="I52" s="105"/>
      <c r="J52" s="105"/>
      <c r="K52" s="105"/>
    </row>
    <row r="53" spans="1:11" ht="15.4" customHeight="1" outlineLevel="2">
      <c r="A53" s="116" t="s">
        <v>66</v>
      </c>
      <c r="B53" s="117"/>
      <c r="C53" s="117"/>
      <c r="D53" s="117"/>
      <c r="E53" s="117"/>
      <c r="F53" s="117"/>
      <c r="G53" s="117"/>
      <c r="H53" s="117"/>
      <c r="I53" s="117"/>
      <c r="J53" s="117"/>
      <c r="K53" s="117"/>
    </row>
    <row r="54" spans="1:11" outlineLevel="3">
      <c r="A54" s="99" t="s">
        <v>8</v>
      </c>
      <c r="B54" s="99" t="s">
        <v>9</v>
      </c>
      <c r="C54" s="99" t="s">
        <v>10</v>
      </c>
      <c r="D54" s="99" t="s">
        <v>11</v>
      </c>
      <c r="E54" s="99" t="s">
        <v>12</v>
      </c>
      <c r="F54" s="99" t="s">
        <v>13</v>
      </c>
      <c r="G54" s="99" t="s">
        <v>14</v>
      </c>
      <c r="H54" s="99" t="s">
        <v>15</v>
      </c>
      <c r="I54" s="99" t="s">
        <v>16</v>
      </c>
      <c r="J54" s="99" t="s">
        <v>17</v>
      </c>
      <c r="K54" s="99" t="s">
        <v>18</v>
      </c>
    </row>
    <row r="55" spans="1:11" outlineLevel="3">
      <c r="A55" s="100">
        <v>45432</v>
      </c>
      <c r="B55" s="103"/>
      <c r="C55" s="103"/>
      <c r="D55" s="102">
        <v>0</v>
      </c>
      <c r="E55" s="102">
        <v>0</v>
      </c>
      <c r="F55" s="102">
        <v>7.8</v>
      </c>
      <c r="G55" s="102">
        <v>0</v>
      </c>
      <c r="H55" s="102">
        <v>4.2300000000000004</v>
      </c>
      <c r="I55" s="102">
        <v>16.23</v>
      </c>
      <c r="J55" s="36" t="s">
        <v>54</v>
      </c>
      <c r="K55" s="36" t="s">
        <v>20</v>
      </c>
    </row>
    <row r="56" spans="1:11" outlineLevel="3">
      <c r="A56" s="100">
        <v>45433</v>
      </c>
      <c r="B56" s="101" t="s">
        <v>67</v>
      </c>
      <c r="C56" s="101" t="s">
        <v>67</v>
      </c>
      <c r="D56" s="102">
        <v>7.3</v>
      </c>
      <c r="E56" s="102">
        <v>7.3</v>
      </c>
      <c r="F56" s="102">
        <v>7.8</v>
      </c>
      <c r="G56" s="102">
        <v>-0.5</v>
      </c>
      <c r="H56" s="102">
        <v>3.73</v>
      </c>
      <c r="I56" s="102">
        <v>15.73</v>
      </c>
      <c r="J56" s="36" t="s">
        <v>20</v>
      </c>
      <c r="K56" s="36" t="s">
        <v>20</v>
      </c>
    </row>
    <row r="57" spans="1:11" outlineLevel="3">
      <c r="A57" s="100">
        <v>45434</v>
      </c>
      <c r="B57" s="101" t="s">
        <v>68</v>
      </c>
      <c r="C57" s="101" t="s">
        <v>68</v>
      </c>
      <c r="D57" s="102">
        <v>8.6999999999999993</v>
      </c>
      <c r="E57" s="102">
        <v>8.6999999999999993</v>
      </c>
      <c r="F57" s="102">
        <v>7.8</v>
      </c>
      <c r="G57" s="102">
        <v>0.9</v>
      </c>
      <c r="H57" s="102">
        <v>4.63</v>
      </c>
      <c r="I57" s="102">
        <v>16.63</v>
      </c>
      <c r="J57" s="36" t="s">
        <v>20</v>
      </c>
      <c r="K57" s="36" t="s">
        <v>20</v>
      </c>
    </row>
    <row r="58" spans="1:11" outlineLevel="3">
      <c r="A58" s="100">
        <v>45435</v>
      </c>
      <c r="B58" s="101" t="s">
        <v>69</v>
      </c>
      <c r="C58" s="101" t="s">
        <v>69</v>
      </c>
      <c r="D58" s="102">
        <v>9.15</v>
      </c>
      <c r="E58" s="102">
        <v>9.15</v>
      </c>
      <c r="F58" s="102">
        <v>7.8</v>
      </c>
      <c r="G58" s="102">
        <v>1.35</v>
      </c>
      <c r="H58" s="102">
        <v>5.98</v>
      </c>
      <c r="I58" s="102">
        <v>17.98</v>
      </c>
      <c r="J58" s="36" t="s">
        <v>20</v>
      </c>
      <c r="K58" s="36" t="s">
        <v>20</v>
      </c>
    </row>
    <row r="59" spans="1:11" outlineLevel="3">
      <c r="A59" s="100">
        <v>45436</v>
      </c>
      <c r="B59" s="101" t="s">
        <v>70</v>
      </c>
      <c r="C59" s="101" t="s">
        <v>70</v>
      </c>
      <c r="D59" s="102">
        <v>7.78</v>
      </c>
      <c r="E59" s="102">
        <v>7.78</v>
      </c>
      <c r="F59" s="102">
        <v>7.8</v>
      </c>
      <c r="G59" s="102">
        <v>-0.02</v>
      </c>
      <c r="H59" s="102">
        <v>5.97</v>
      </c>
      <c r="I59" s="102">
        <v>17.97</v>
      </c>
      <c r="J59" s="36" t="s">
        <v>20</v>
      </c>
      <c r="K59" s="36" t="s">
        <v>20</v>
      </c>
    </row>
    <row r="60" spans="1:11" outlineLevel="3">
      <c r="A60" s="100">
        <v>45437</v>
      </c>
      <c r="B60" s="103"/>
      <c r="C60" s="103"/>
      <c r="D60" s="102">
        <v>0</v>
      </c>
      <c r="E60" s="102">
        <v>0</v>
      </c>
      <c r="F60" s="102">
        <v>0</v>
      </c>
      <c r="G60" s="102">
        <v>0</v>
      </c>
      <c r="H60" s="102">
        <v>5.97</v>
      </c>
      <c r="I60" s="102">
        <v>17.97</v>
      </c>
      <c r="J60" s="36" t="s">
        <v>20</v>
      </c>
      <c r="K60" s="36" t="s">
        <v>20</v>
      </c>
    </row>
    <row r="61" spans="1:11" outlineLevel="3">
      <c r="A61" s="100">
        <v>45437</v>
      </c>
      <c r="B61" s="103"/>
      <c r="C61" s="103"/>
      <c r="D61" s="102">
        <v>0</v>
      </c>
      <c r="E61" s="102">
        <v>0</v>
      </c>
      <c r="F61" s="102">
        <v>0</v>
      </c>
      <c r="G61" s="102">
        <v>0</v>
      </c>
      <c r="H61" s="102">
        <v>5.97</v>
      </c>
      <c r="I61" s="102">
        <v>17.97</v>
      </c>
      <c r="J61" s="36" t="s">
        <v>20</v>
      </c>
      <c r="K61" s="36" t="s">
        <v>20</v>
      </c>
    </row>
    <row r="62" spans="1:11" outlineLevel="3">
      <c r="A62" s="100">
        <v>45437</v>
      </c>
      <c r="B62" s="103"/>
      <c r="C62" s="103"/>
      <c r="D62" s="102">
        <v>0</v>
      </c>
      <c r="E62" s="102">
        <v>0</v>
      </c>
      <c r="F62" s="102">
        <v>0</v>
      </c>
      <c r="G62" s="102">
        <v>0</v>
      </c>
      <c r="H62" s="102">
        <v>5.97</v>
      </c>
      <c r="I62" s="102">
        <v>17.97</v>
      </c>
      <c r="J62" s="36" t="s">
        <v>20</v>
      </c>
      <c r="K62" s="36" t="s">
        <v>20</v>
      </c>
    </row>
    <row r="63" spans="1:11" outlineLevel="3">
      <c r="A63" s="100">
        <v>45437</v>
      </c>
      <c r="B63" s="103"/>
      <c r="C63" s="103"/>
      <c r="D63" s="102">
        <v>0</v>
      </c>
      <c r="E63" s="102">
        <v>0</v>
      </c>
      <c r="F63" s="102">
        <v>0</v>
      </c>
      <c r="G63" s="102">
        <v>0</v>
      </c>
      <c r="H63" s="102">
        <v>5.97</v>
      </c>
      <c r="I63" s="102">
        <v>17.97</v>
      </c>
      <c r="J63" s="36" t="s">
        <v>20</v>
      </c>
      <c r="K63" s="36" t="s">
        <v>20</v>
      </c>
    </row>
    <row r="64" spans="1:11" outlineLevel="3">
      <c r="A64" s="100">
        <v>45438</v>
      </c>
      <c r="B64" s="103"/>
      <c r="C64" s="103"/>
      <c r="D64" s="102">
        <v>0</v>
      </c>
      <c r="E64" s="102">
        <v>0</v>
      </c>
      <c r="F64" s="102">
        <v>0</v>
      </c>
      <c r="G64" s="102">
        <v>0</v>
      </c>
      <c r="H64" s="102">
        <v>5.97</v>
      </c>
      <c r="I64" s="102">
        <v>17.97</v>
      </c>
      <c r="J64" s="36" t="s">
        <v>20</v>
      </c>
      <c r="K64" s="36" t="s">
        <v>20</v>
      </c>
    </row>
    <row r="65" spans="1:11" outlineLevel="3">
      <c r="A65" s="100">
        <v>45438</v>
      </c>
      <c r="B65" s="103"/>
      <c r="C65" s="103"/>
      <c r="D65" s="102">
        <v>0</v>
      </c>
      <c r="E65" s="102">
        <v>0</v>
      </c>
      <c r="F65" s="102">
        <v>0</v>
      </c>
      <c r="G65" s="102">
        <v>0</v>
      </c>
      <c r="H65" s="102">
        <v>5.97</v>
      </c>
      <c r="I65" s="102">
        <v>17.97</v>
      </c>
      <c r="J65" s="36" t="s">
        <v>20</v>
      </c>
      <c r="K65" s="36" t="s">
        <v>20</v>
      </c>
    </row>
    <row r="66" spans="1:11" outlineLevel="3">
      <c r="A66" s="100">
        <v>45438</v>
      </c>
      <c r="B66" s="103"/>
      <c r="C66" s="103"/>
      <c r="D66" s="102">
        <v>0</v>
      </c>
      <c r="E66" s="102">
        <v>0</v>
      </c>
      <c r="F66" s="102">
        <v>0</v>
      </c>
      <c r="G66" s="102">
        <v>0</v>
      </c>
      <c r="H66" s="102">
        <v>5.97</v>
      </c>
      <c r="I66" s="102">
        <v>17.97</v>
      </c>
      <c r="J66" s="36" t="s">
        <v>20</v>
      </c>
      <c r="K66" s="36" t="s">
        <v>20</v>
      </c>
    </row>
    <row r="67" spans="1:11" outlineLevel="3">
      <c r="A67" s="100">
        <v>45438</v>
      </c>
      <c r="B67" s="103"/>
      <c r="C67" s="103"/>
      <c r="D67" s="102">
        <v>0</v>
      </c>
      <c r="E67" s="102">
        <v>0</v>
      </c>
      <c r="F67" s="102">
        <v>0</v>
      </c>
      <c r="G67" s="102">
        <v>0</v>
      </c>
      <c r="H67" s="102">
        <v>5.97</v>
      </c>
      <c r="I67" s="102">
        <v>17.97</v>
      </c>
      <c r="J67" s="36" t="s">
        <v>20</v>
      </c>
      <c r="K67" s="36" t="s">
        <v>20</v>
      </c>
    </row>
    <row r="68" spans="1:11" outlineLevel="3">
      <c r="A68" s="85" t="s">
        <v>26</v>
      </c>
      <c r="B68" s="85"/>
      <c r="C68" s="85"/>
      <c r="D68" s="104">
        <v>32.93</v>
      </c>
      <c r="E68" s="104">
        <v>32.93</v>
      </c>
      <c r="F68" s="104">
        <v>39</v>
      </c>
      <c r="G68" s="85"/>
      <c r="H68" s="85"/>
      <c r="I68" s="85"/>
      <c r="J68" s="85"/>
      <c r="K68" s="85"/>
    </row>
    <row r="69" spans="1:11" outlineLevel="3">
      <c r="A69" s="105" t="s">
        <v>20</v>
      </c>
      <c r="B69" s="105"/>
      <c r="C69" s="105"/>
      <c r="D69" s="105"/>
      <c r="E69" s="105"/>
      <c r="F69" s="105"/>
      <c r="G69" s="105"/>
      <c r="H69" s="105"/>
      <c r="I69" s="105"/>
      <c r="J69" s="105"/>
      <c r="K69" s="105"/>
    </row>
    <row r="70" spans="1:11" ht="15.4" customHeight="1" outlineLevel="2">
      <c r="A70" s="116" t="s">
        <v>71</v>
      </c>
      <c r="B70" s="117"/>
      <c r="C70" s="117"/>
      <c r="D70" s="117"/>
      <c r="E70" s="117"/>
      <c r="F70" s="117"/>
      <c r="G70" s="117"/>
      <c r="H70" s="117"/>
      <c r="I70" s="117"/>
      <c r="J70" s="117"/>
      <c r="K70" s="117"/>
    </row>
    <row r="71" spans="1:11" outlineLevel="3">
      <c r="A71" s="99" t="s">
        <v>8</v>
      </c>
      <c r="B71" s="99" t="s">
        <v>9</v>
      </c>
      <c r="C71" s="99" t="s">
        <v>10</v>
      </c>
      <c r="D71" s="99" t="s">
        <v>11</v>
      </c>
      <c r="E71" s="99" t="s">
        <v>12</v>
      </c>
      <c r="F71" s="99" t="s">
        <v>13</v>
      </c>
      <c r="G71" s="99" t="s">
        <v>14</v>
      </c>
      <c r="H71" s="99" t="s">
        <v>15</v>
      </c>
      <c r="I71" s="99" t="s">
        <v>16</v>
      </c>
      <c r="J71" s="99" t="s">
        <v>17</v>
      </c>
      <c r="K71" s="99" t="s">
        <v>18</v>
      </c>
    </row>
    <row r="72" spans="1:11" outlineLevel="3">
      <c r="A72" s="100">
        <v>45439</v>
      </c>
      <c r="B72" s="101" t="s">
        <v>72</v>
      </c>
      <c r="C72" s="101" t="s">
        <v>72</v>
      </c>
      <c r="D72" s="102">
        <v>8.67</v>
      </c>
      <c r="E72" s="102">
        <v>8.67</v>
      </c>
      <c r="F72" s="102">
        <v>7.8</v>
      </c>
      <c r="G72" s="102">
        <v>0.87</v>
      </c>
      <c r="H72" s="102">
        <v>6.83</v>
      </c>
      <c r="I72" s="102">
        <v>18.829999999999998</v>
      </c>
      <c r="J72" s="36" t="s">
        <v>20</v>
      </c>
      <c r="K72" s="36" t="s">
        <v>20</v>
      </c>
    </row>
    <row r="73" spans="1:11" outlineLevel="3">
      <c r="A73" s="100">
        <v>45440</v>
      </c>
      <c r="B73" s="101" t="s">
        <v>73</v>
      </c>
      <c r="C73" s="101" t="s">
        <v>73</v>
      </c>
      <c r="D73" s="102">
        <v>8.18</v>
      </c>
      <c r="E73" s="102">
        <v>8.18</v>
      </c>
      <c r="F73" s="102">
        <v>7.8</v>
      </c>
      <c r="G73" s="102">
        <v>0.38</v>
      </c>
      <c r="H73" s="102">
        <v>7.22</v>
      </c>
      <c r="I73" s="102">
        <v>19.22</v>
      </c>
      <c r="J73" s="36" t="s">
        <v>20</v>
      </c>
      <c r="K73" s="36" t="s">
        <v>20</v>
      </c>
    </row>
    <row r="74" spans="1:11" outlineLevel="3">
      <c r="A74" s="100">
        <v>45441</v>
      </c>
      <c r="B74" s="103"/>
      <c r="C74" s="103"/>
      <c r="D74" s="102">
        <v>0</v>
      </c>
      <c r="E74" s="102">
        <v>0</v>
      </c>
      <c r="F74" s="102">
        <v>7.8</v>
      </c>
      <c r="G74" s="102">
        <v>0</v>
      </c>
      <c r="H74" s="102">
        <v>7.22</v>
      </c>
      <c r="I74" s="102">
        <v>19.22</v>
      </c>
      <c r="J74" s="36" t="s">
        <v>74</v>
      </c>
      <c r="K74" s="36" t="s">
        <v>20</v>
      </c>
    </row>
    <row r="75" spans="1:11" outlineLevel="3">
      <c r="A75" s="100">
        <v>45442</v>
      </c>
      <c r="B75" s="103"/>
      <c r="C75" s="103"/>
      <c r="D75" s="102">
        <v>0</v>
      </c>
      <c r="E75" s="102">
        <v>0</v>
      </c>
      <c r="F75" s="102">
        <v>7.8</v>
      </c>
      <c r="G75" s="102">
        <v>0</v>
      </c>
      <c r="H75" s="102">
        <v>7.22</v>
      </c>
      <c r="I75" s="102">
        <v>19.22</v>
      </c>
      <c r="J75" s="36" t="s">
        <v>74</v>
      </c>
      <c r="K75" s="36" t="s">
        <v>20</v>
      </c>
    </row>
    <row r="76" spans="1:11" outlineLevel="3">
      <c r="A76" s="100">
        <v>45443</v>
      </c>
      <c r="B76" s="103"/>
      <c r="C76" s="103"/>
      <c r="D76" s="102">
        <v>0</v>
      </c>
      <c r="E76" s="102">
        <v>0</v>
      </c>
      <c r="F76" s="102">
        <v>7.8</v>
      </c>
      <c r="G76" s="102">
        <v>0</v>
      </c>
      <c r="H76" s="102">
        <v>7.22</v>
      </c>
      <c r="I76" s="102">
        <v>19.22</v>
      </c>
      <c r="J76" s="36" t="s">
        <v>74</v>
      </c>
      <c r="K76" s="36" t="s">
        <v>20</v>
      </c>
    </row>
    <row r="77" spans="1:11" outlineLevel="3">
      <c r="A77" s="85" t="s">
        <v>26</v>
      </c>
      <c r="B77" s="85"/>
      <c r="C77" s="85"/>
      <c r="D77" s="104">
        <v>16.850000000000001</v>
      </c>
      <c r="E77" s="104">
        <v>16.850000000000001</v>
      </c>
      <c r="F77" s="104">
        <v>39</v>
      </c>
      <c r="G77" s="85"/>
      <c r="H77" s="85"/>
      <c r="I77" s="85"/>
      <c r="J77" s="85"/>
      <c r="K77" s="85"/>
    </row>
    <row r="78" spans="1:11" outlineLevel="3">
      <c r="A78" s="105" t="s">
        <v>20</v>
      </c>
      <c r="B78" s="105"/>
      <c r="C78" s="105"/>
      <c r="D78" s="105"/>
      <c r="E78" s="105"/>
      <c r="F78" s="105"/>
      <c r="G78" s="105"/>
      <c r="H78" s="105"/>
      <c r="I78" s="105"/>
      <c r="J78" s="105"/>
      <c r="K78" s="105"/>
    </row>
    <row r="79" spans="1:11" outlineLevel="2">
      <c r="A79" s="85" t="s">
        <v>27</v>
      </c>
      <c r="B79" s="105"/>
      <c r="C79" s="105"/>
      <c r="D79" s="102">
        <v>125.82</v>
      </c>
      <c r="E79" s="102">
        <v>125.82</v>
      </c>
      <c r="F79" s="102">
        <v>195</v>
      </c>
      <c r="G79" s="105"/>
      <c r="H79" s="105"/>
      <c r="I79" s="105"/>
      <c r="J79" s="105"/>
      <c r="K79" s="105"/>
    </row>
    <row r="80" spans="1:11" outlineLevel="1">
      <c r="A80" s="85" t="s">
        <v>28</v>
      </c>
      <c r="B80" s="105"/>
      <c r="C80" s="105"/>
      <c r="D80" s="102">
        <v>125.82</v>
      </c>
      <c r="E80" s="102">
        <v>125.82</v>
      </c>
      <c r="F80" s="102">
        <v>195</v>
      </c>
      <c r="G80" s="105"/>
      <c r="H80" s="105"/>
      <c r="I80" s="105"/>
      <c r="J80" s="105"/>
      <c r="K80" s="105"/>
    </row>
    <row r="81" spans="1:11">
      <c r="A81" s="85" t="s">
        <v>29</v>
      </c>
      <c r="B81" s="105"/>
      <c r="C81" s="105"/>
      <c r="D81" s="102">
        <v>125.82</v>
      </c>
      <c r="E81" s="102">
        <v>125.82</v>
      </c>
      <c r="F81" s="102">
        <v>195</v>
      </c>
      <c r="G81" s="105"/>
      <c r="H81" s="105"/>
      <c r="I81" s="105"/>
      <c r="J81" s="105"/>
      <c r="K81" s="105"/>
    </row>
    <row r="82" spans="1:11">
      <c r="A82" s="106"/>
      <c r="B82" s="107" t="s">
        <v>30</v>
      </c>
      <c r="C82" s="108" t="s">
        <v>31</v>
      </c>
    </row>
  </sheetData>
  <mergeCells count="7">
    <mergeCell ref="A70:K70"/>
    <mergeCell ref="A6:K6"/>
    <mergeCell ref="A7:K7"/>
    <mergeCell ref="A8:K8"/>
    <mergeCell ref="A25:K25"/>
    <mergeCell ref="A36:K36"/>
    <mergeCell ref="A53:K53"/>
  </mergeCells>
  <pageMargins left="0.49212598425196852" right="0.49212598425196852" top="0.89370078740157477" bottom="0.89370078740157477"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55FDC-5679-4125-8B83-AD004A1D2727}">
  <dimension ref="A1:K62"/>
  <sheetViews>
    <sheetView workbookViewId="0">
      <selection activeCell="A9" sqref="A9:K17"/>
    </sheetView>
  </sheetViews>
  <sheetFormatPr defaultColWidth="11.42578125" defaultRowHeight="12.75" outlineLevelRow="3"/>
  <cols>
    <col min="1" max="1" width="42.7109375" style="35" bestFit="1" customWidth="1"/>
    <col min="2" max="3" width="21.85546875" style="35" bestFit="1" customWidth="1"/>
    <col min="4" max="4" width="11.28515625" style="35" bestFit="1" customWidth="1"/>
    <col min="5" max="5" width="13.85546875" style="35" bestFit="1" customWidth="1"/>
    <col min="6" max="6" width="12.42578125" style="35" bestFit="1" customWidth="1"/>
    <col min="7" max="7" width="7.5703125" style="35" bestFit="1" customWidth="1"/>
    <col min="8" max="8" width="9.5703125" style="35" bestFit="1" customWidth="1"/>
    <col min="9" max="9" width="8" style="35" bestFit="1" customWidth="1"/>
    <col min="10" max="10" width="18.28515625" style="35" bestFit="1" customWidth="1"/>
    <col min="11" max="11" width="8.85546875" style="35" bestFit="1" customWidth="1"/>
    <col min="12" max="256" width="9.140625" style="35" customWidth="1"/>
    <col min="257" max="257" width="62" style="35" customWidth="1"/>
    <col min="258" max="258" width="32.28515625" style="35" customWidth="1"/>
    <col min="259" max="259" width="11.85546875" style="35" customWidth="1"/>
    <col min="260" max="262" width="5.28515625" style="35" customWidth="1"/>
    <col min="263" max="265" width="6.42578125" style="35" customWidth="1"/>
    <col min="266" max="267" width="18.85546875" style="35" customWidth="1"/>
    <col min="268" max="512" width="9.140625" style="35" customWidth="1"/>
    <col min="513" max="513" width="62" style="35" customWidth="1"/>
    <col min="514" max="514" width="32.28515625" style="35" customWidth="1"/>
    <col min="515" max="515" width="11.85546875" style="35" customWidth="1"/>
    <col min="516" max="518" width="5.28515625" style="35" customWidth="1"/>
    <col min="519" max="521" width="6.42578125" style="35" customWidth="1"/>
    <col min="522" max="523" width="18.85546875" style="35" customWidth="1"/>
    <col min="524" max="768" width="9.140625" style="35" customWidth="1"/>
    <col min="769" max="769" width="62" style="35" customWidth="1"/>
    <col min="770" max="770" width="32.28515625" style="35" customWidth="1"/>
    <col min="771" max="771" width="11.85546875" style="35" customWidth="1"/>
    <col min="772" max="774" width="5.28515625" style="35" customWidth="1"/>
    <col min="775" max="777" width="6.42578125" style="35" customWidth="1"/>
    <col min="778" max="779" width="18.85546875" style="35" customWidth="1"/>
    <col min="780" max="1024" width="9.140625" style="35" customWidth="1"/>
    <col min="1025" max="1025" width="62" style="35" customWidth="1"/>
    <col min="1026" max="1026" width="32.28515625" style="35" customWidth="1"/>
    <col min="1027" max="1027" width="11.85546875" style="35" customWidth="1"/>
    <col min="1028" max="1030" width="5.28515625" style="35" customWidth="1"/>
    <col min="1031" max="1033" width="6.42578125" style="35" customWidth="1"/>
    <col min="1034" max="1035" width="18.85546875" style="35" customWidth="1"/>
    <col min="1036" max="1280" width="9.140625" style="35" customWidth="1"/>
    <col min="1281" max="1281" width="62" style="35" customWidth="1"/>
    <col min="1282" max="1282" width="32.28515625" style="35" customWidth="1"/>
    <col min="1283" max="1283" width="11.85546875" style="35" customWidth="1"/>
    <col min="1284" max="1286" width="5.28515625" style="35" customWidth="1"/>
    <col min="1287" max="1289" width="6.42578125" style="35" customWidth="1"/>
    <col min="1290" max="1291" width="18.85546875" style="35" customWidth="1"/>
    <col min="1292" max="1536" width="9.140625" style="35" customWidth="1"/>
    <col min="1537" max="1537" width="62" style="35" customWidth="1"/>
    <col min="1538" max="1538" width="32.28515625" style="35" customWidth="1"/>
    <col min="1539" max="1539" width="11.85546875" style="35" customWidth="1"/>
    <col min="1540" max="1542" width="5.28515625" style="35" customWidth="1"/>
    <col min="1543" max="1545" width="6.42578125" style="35" customWidth="1"/>
    <col min="1546" max="1547" width="18.85546875" style="35" customWidth="1"/>
    <col min="1548" max="1792" width="9.140625" style="35" customWidth="1"/>
    <col min="1793" max="1793" width="62" style="35" customWidth="1"/>
    <col min="1794" max="1794" width="32.28515625" style="35" customWidth="1"/>
    <col min="1795" max="1795" width="11.85546875" style="35" customWidth="1"/>
    <col min="1796" max="1798" width="5.28515625" style="35" customWidth="1"/>
    <col min="1799" max="1801" width="6.42578125" style="35" customWidth="1"/>
    <col min="1802" max="1803" width="18.85546875" style="35" customWidth="1"/>
    <col min="1804" max="2048" width="9.140625" style="35" customWidth="1"/>
    <col min="2049" max="2049" width="62" style="35" customWidth="1"/>
    <col min="2050" max="2050" width="32.28515625" style="35" customWidth="1"/>
    <col min="2051" max="2051" width="11.85546875" style="35" customWidth="1"/>
    <col min="2052" max="2054" width="5.28515625" style="35" customWidth="1"/>
    <col min="2055" max="2057" width="6.42578125" style="35" customWidth="1"/>
    <col min="2058" max="2059" width="18.85546875" style="35" customWidth="1"/>
    <col min="2060" max="2304" width="9.140625" style="35" customWidth="1"/>
    <col min="2305" max="2305" width="62" style="35" customWidth="1"/>
    <col min="2306" max="2306" width="32.28515625" style="35" customWidth="1"/>
    <col min="2307" max="2307" width="11.85546875" style="35" customWidth="1"/>
    <col min="2308" max="2310" width="5.28515625" style="35" customWidth="1"/>
    <col min="2311" max="2313" width="6.42578125" style="35" customWidth="1"/>
    <col min="2314" max="2315" width="18.85546875" style="35" customWidth="1"/>
    <col min="2316" max="2560" width="9.140625" style="35" customWidth="1"/>
    <col min="2561" max="2561" width="62" style="35" customWidth="1"/>
    <col min="2562" max="2562" width="32.28515625" style="35" customWidth="1"/>
    <col min="2563" max="2563" width="11.85546875" style="35" customWidth="1"/>
    <col min="2564" max="2566" width="5.28515625" style="35" customWidth="1"/>
    <col min="2567" max="2569" width="6.42578125" style="35" customWidth="1"/>
    <col min="2570" max="2571" width="18.85546875" style="35" customWidth="1"/>
    <col min="2572" max="2816" width="9.140625" style="35" customWidth="1"/>
    <col min="2817" max="2817" width="62" style="35" customWidth="1"/>
    <col min="2818" max="2818" width="32.28515625" style="35" customWidth="1"/>
    <col min="2819" max="2819" width="11.85546875" style="35" customWidth="1"/>
    <col min="2820" max="2822" width="5.28515625" style="35" customWidth="1"/>
    <col min="2823" max="2825" width="6.42578125" style="35" customWidth="1"/>
    <col min="2826" max="2827" width="18.85546875" style="35" customWidth="1"/>
    <col min="2828" max="3072" width="9.140625" style="35" customWidth="1"/>
    <col min="3073" max="3073" width="62" style="35" customWidth="1"/>
    <col min="3074" max="3074" width="32.28515625" style="35" customWidth="1"/>
    <col min="3075" max="3075" width="11.85546875" style="35" customWidth="1"/>
    <col min="3076" max="3078" width="5.28515625" style="35" customWidth="1"/>
    <col min="3079" max="3081" width="6.42578125" style="35" customWidth="1"/>
    <col min="3082" max="3083" width="18.85546875" style="35" customWidth="1"/>
    <col min="3084" max="3328" width="9.140625" style="35" customWidth="1"/>
    <col min="3329" max="3329" width="62" style="35" customWidth="1"/>
    <col min="3330" max="3330" width="32.28515625" style="35" customWidth="1"/>
    <col min="3331" max="3331" width="11.85546875" style="35" customWidth="1"/>
    <col min="3332" max="3334" width="5.28515625" style="35" customWidth="1"/>
    <col min="3335" max="3337" width="6.42578125" style="35" customWidth="1"/>
    <col min="3338" max="3339" width="18.85546875" style="35" customWidth="1"/>
    <col min="3340" max="3584" width="9.140625" style="35" customWidth="1"/>
    <col min="3585" max="3585" width="62" style="35" customWidth="1"/>
    <col min="3586" max="3586" width="32.28515625" style="35" customWidth="1"/>
    <col min="3587" max="3587" width="11.85546875" style="35" customWidth="1"/>
    <col min="3588" max="3590" width="5.28515625" style="35" customWidth="1"/>
    <col min="3591" max="3593" width="6.42578125" style="35" customWidth="1"/>
    <col min="3594" max="3595" width="18.85546875" style="35" customWidth="1"/>
    <col min="3596" max="3840" width="9.140625" style="35" customWidth="1"/>
    <col min="3841" max="3841" width="62" style="35" customWidth="1"/>
    <col min="3842" max="3842" width="32.28515625" style="35" customWidth="1"/>
    <col min="3843" max="3843" width="11.85546875" style="35" customWidth="1"/>
    <col min="3844" max="3846" width="5.28515625" style="35" customWidth="1"/>
    <col min="3847" max="3849" width="6.42578125" style="35" customWidth="1"/>
    <col min="3850" max="3851" width="18.85546875" style="35" customWidth="1"/>
    <col min="3852" max="4096" width="9.140625" style="35" customWidth="1"/>
    <col min="4097" max="4097" width="62" style="35" customWidth="1"/>
    <col min="4098" max="4098" width="32.28515625" style="35" customWidth="1"/>
    <col min="4099" max="4099" width="11.85546875" style="35" customWidth="1"/>
    <col min="4100" max="4102" width="5.28515625" style="35" customWidth="1"/>
    <col min="4103" max="4105" width="6.42578125" style="35" customWidth="1"/>
    <col min="4106" max="4107" width="18.85546875" style="35" customWidth="1"/>
    <col min="4108" max="4352" width="9.140625" style="35" customWidth="1"/>
    <col min="4353" max="4353" width="62" style="35" customWidth="1"/>
    <col min="4354" max="4354" width="32.28515625" style="35" customWidth="1"/>
    <col min="4355" max="4355" width="11.85546875" style="35" customWidth="1"/>
    <col min="4356" max="4358" width="5.28515625" style="35" customWidth="1"/>
    <col min="4359" max="4361" width="6.42578125" style="35" customWidth="1"/>
    <col min="4362" max="4363" width="18.85546875" style="35" customWidth="1"/>
    <col min="4364" max="4608" width="9.140625" style="35" customWidth="1"/>
    <col min="4609" max="4609" width="62" style="35" customWidth="1"/>
    <col min="4610" max="4610" width="32.28515625" style="35" customWidth="1"/>
    <col min="4611" max="4611" width="11.85546875" style="35" customWidth="1"/>
    <col min="4612" max="4614" width="5.28515625" style="35" customWidth="1"/>
    <col min="4615" max="4617" width="6.42578125" style="35" customWidth="1"/>
    <col min="4618" max="4619" width="18.85546875" style="35" customWidth="1"/>
    <col min="4620" max="4864" width="9.140625" style="35" customWidth="1"/>
    <col min="4865" max="4865" width="62" style="35" customWidth="1"/>
    <col min="4866" max="4866" width="32.28515625" style="35" customWidth="1"/>
    <col min="4867" max="4867" width="11.85546875" style="35" customWidth="1"/>
    <col min="4868" max="4870" width="5.28515625" style="35" customWidth="1"/>
    <col min="4871" max="4873" width="6.42578125" style="35" customWidth="1"/>
    <col min="4874" max="4875" width="18.85546875" style="35" customWidth="1"/>
    <col min="4876" max="5120" width="9.140625" style="35" customWidth="1"/>
    <col min="5121" max="5121" width="62" style="35" customWidth="1"/>
    <col min="5122" max="5122" width="32.28515625" style="35" customWidth="1"/>
    <col min="5123" max="5123" width="11.85546875" style="35" customWidth="1"/>
    <col min="5124" max="5126" width="5.28515625" style="35" customWidth="1"/>
    <col min="5127" max="5129" width="6.42578125" style="35" customWidth="1"/>
    <col min="5130" max="5131" width="18.85546875" style="35" customWidth="1"/>
    <col min="5132" max="5376" width="9.140625" style="35" customWidth="1"/>
    <col min="5377" max="5377" width="62" style="35" customWidth="1"/>
    <col min="5378" max="5378" width="32.28515625" style="35" customWidth="1"/>
    <col min="5379" max="5379" width="11.85546875" style="35" customWidth="1"/>
    <col min="5380" max="5382" width="5.28515625" style="35" customWidth="1"/>
    <col min="5383" max="5385" width="6.42578125" style="35" customWidth="1"/>
    <col min="5386" max="5387" width="18.85546875" style="35" customWidth="1"/>
    <col min="5388" max="5632" width="9.140625" style="35" customWidth="1"/>
    <col min="5633" max="5633" width="62" style="35" customWidth="1"/>
    <col min="5634" max="5634" width="32.28515625" style="35" customWidth="1"/>
    <col min="5635" max="5635" width="11.85546875" style="35" customWidth="1"/>
    <col min="5636" max="5638" width="5.28515625" style="35" customWidth="1"/>
    <col min="5639" max="5641" width="6.42578125" style="35" customWidth="1"/>
    <col min="5642" max="5643" width="18.85546875" style="35" customWidth="1"/>
    <col min="5644" max="5888" width="9.140625" style="35" customWidth="1"/>
    <col min="5889" max="5889" width="62" style="35" customWidth="1"/>
    <col min="5890" max="5890" width="32.28515625" style="35" customWidth="1"/>
    <col min="5891" max="5891" width="11.85546875" style="35" customWidth="1"/>
    <col min="5892" max="5894" width="5.28515625" style="35" customWidth="1"/>
    <col min="5895" max="5897" width="6.42578125" style="35" customWidth="1"/>
    <col min="5898" max="5899" width="18.85546875" style="35" customWidth="1"/>
    <col min="5900" max="6144" width="9.140625" style="35" customWidth="1"/>
    <col min="6145" max="6145" width="62" style="35" customWidth="1"/>
    <col min="6146" max="6146" width="32.28515625" style="35" customWidth="1"/>
    <col min="6147" max="6147" width="11.85546875" style="35" customWidth="1"/>
    <col min="6148" max="6150" width="5.28515625" style="35" customWidth="1"/>
    <col min="6151" max="6153" width="6.42578125" style="35" customWidth="1"/>
    <col min="6154" max="6155" width="18.85546875" style="35" customWidth="1"/>
    <col min="6156" max="6400" width="9.140625" style="35" customWidth="1"/>
    <col min="6401" max="6401" width="62" style="35" customWidth="1"/>
    <col min="6402" max="6402" width="32.28515625" style="35" customWidth="1"/>
    <col min="6403" max="6403" width="11.85546875" style="35" customWidth="1"/>
    <col min="6404" max="6406" width="5.28515625" style="35" customWidth="1"/>
    <col min="6407" max="6409" width="6.42578125" style="35" customWidth="1"/>
    <col min="6410" max="6411" width="18.85546875" style="35" customWidth="1"/>
    <col min="6412" max="6656" width="9.140625" style="35" customWidth="1"/>
    <col min="6657" max="6657" width="62" style="35" customWidth="1"/>
    <col min="6658" max="6658" width="32.28515625" style="35" customWidth="1"/>
    <col min="6659" max="6659" width="11.85546875" style="35" customWidth="1"/>
    <col min="6660" max="6662" width="5.28515625" style="35" customWidth="1"/>
    <col min="6663" max="6665" width="6.42578125" style="35" customWidth="1"/>
    <col min="6666" max="6667" width="18.85546875" style="35" customWidth="1"/>
    <col min="6668" max="6912" width="9.140625" style="35" customWidth="1"/>
    <col min="6913" max="6913" width="62" style="35" customWidth="1"/>
    <col min="6914" max="6914" width="32.28515625" style="35" customWidth="1"/>
    <col min="6915" max="6915" width="11.85546875" style="35" customWidth="1"/>
    <col min="6916" max="6918" width="5.28515625" style="35" customWidth="1"/>
    <col min="6919" max="6921" width="6.42578125" style="35" customWidth="1"/>
    <col min="6922" max="6923" width="18.85546875" style="35" customWidth="1"/>
    <col min="6924" max="7168" width="9.140625" style="35" customWidth="1"/>
    <col min="7169" max="7169" width="62" style="35" customWidth="1"/>
    <col min="7170" max="7170" width="32.28515625" style="35" customWidth="1"/>
    <col min="7171" max="7171" width="11.85546875" style="35" customWidth="1"/>
    <col min="7172" max="7174" width="5.28515625" style="35" customWidth="1"/>
    <col min="7175" max="7177" width="6.42578125" style="35" customWidth="1"/>
    <col min="7178" max="7179" width="18.85546875" style="35" customWidth="1"/>
    <col min="7180" max="7424" width="9.140625" style="35" customWidth="1"/>
    <col min="7425" max="7425" width="62" style="35" customWidth="1"/>
    <col min="7426" max="7426" width="32.28515625" style="35" customWidth="1"/>
    <col min="7427" max="7427" width="11.85546875" style="35" customWidth="1"/>
    <col min="7428" max="7430" width="5.28515625" style="35" customWidth="1"/>
    <col min="7431" max="7433" width="6.42578125" style="35" customWidth="1"/>
    <col min="7434" max="7435" width="18.85546875" style="35" customWidth="1"/>
    <col min="7436" max="7680" width="9.140625" style="35" customWidth="1"/>
    <col min="7681" max="7681" width="62" style="35" customWidth="1"/>
    <col min="7682" max="7682" width="32.28515625" style="35" customWidth="1"/>
    <col min="7683" max="7683" width="11.85546875" style="35" customWidth="1"/>
    <col min="7684" max="7686" width="5.28515625" style="35" customWidth="1"/>
    <col min="7687" max="7689" width="6.42578125" style="35" customWidth="1"/>
    <col min="7690" max="7691" width="18.85546875" style="35" customWidth="1"/>
    <col min="7692" max="7936" width="9.140625" style="35" customWidth="1"/>
    <col min="7937" max="7937" width="62" style="35" customWidth="1"/>
    <col min="7938" max="7938" width="32.28515625" style="35" customWidth="1"/>
    <col min="7939" max="7939" width="11.85546875" style="35" customWidth="1"/>
    <col min="7940" max="7942" width="5.28515625" style="35" customWidth="1"/>
    <col min="7943" max="7945" width="6.42578125" style="35" customWidth="1"/>
    <col min="7946" max="7947" width="18.85546875" style="35" customWidth="1"/>
    <col min="7948" max="8192" width="9.140625" style="35" customWidth="1"/>
    <col min="8193" max="8193" width="62" style="35" customWidth="1"/>
    <col min="8194" max="8194" width="32.28515625" style="35" customWidth="1"/>
    <col min="8195" max="8195" width="11.85546875" style="35" customWidth="1"/>
    <col min="8196" max="8198" width="5.28515625" style="35" customWidth="1"/>
    <col min="8199" max="8201" width="6.42578125" style="35" customWidth="1"/>
    <col min="8202" max="8203" width="18.85546875" style="35" customWidth="1"/>
    <col min="8204" max="8448" width="9.140625" style="35" customWidth="1"/>
    <col min="8449" max="8449" width="62" style="35" customWidth="1"/>
    <col min="8450" max="8450" width="32.28515625" style="35" customWidth="1"/>
    <col min="8451" max="8451" width="11.85546875" style="35" customWidth="1"/>
    <col min="8452" max="8454" width="5.28515625" style="35" customWidth="1"/>
    <col min="8455" max="8457" width="6.42578125" style="35" customWidth="1"/>
    <col min="8458" max="8459" width="18.85546875" style="35" customWidth="1"/>
    <col min="8460" max="8704" width="9.140625" style="35" customWidth="1"/>
    <col min="8705" max="8705" width="62" style="35" customWidth="1"/>
    <col min="8706" max="8706" width="32.28515625" style="35" customWidth="1"/>
    <col min="8707" max="8707" width="11.85546875" style="35" customWidth="1"/>
    <col min="8708" max="8710" width="5.28515625" style="35" customWidth="1"/>
    <col min="8711" max="8713" width="6.42578125" style="35" customWidth="1"/>
    <col min="8714" max="8715" width="18.85546875" style="35" customWidth="1"/>
    <col min="8716" max="8960" width="9.140625" style="35" customWidth="1"/>
    <col min="8961" max="8961" width="62" style="35" customWidth="1"/>
    <col min="8962" max="8962" width="32.28515625" style="35" customWidth="1"/>
    <col min="8963" max="8963" width="11.85546875" style="35" customWidth="1"/>
    <col min="8964" max="8966" width="5.28515625" style="35" customWidth="1"/>
    <col min="8967" max="8969" width="6.42578125" style="35" customWidth="1"/>
    <col min="8970" max="8971" width="18.85546875" style="35" customWidth="1"/>
    <col min="8972" max="9216" width="9.140625" style="35" customWidth="1"/>
    <col min="9217" max="9217" width="62" style="35" customWidth="1"/>
    <col min="9218" max="9218" width="32.28515625" style="35" customWidth="1"/>
    <col min="9219" max="9219" width="11.85546875" style="35" customWidth="1"/>
    <col min="9220" max="9222" width="5.28515625" style="35" customWidth="1"/>
    <col min="9223" max="9225" width="6.42578125" style="35" customWidth="1"/>
    <col min="9226" max="9227" width="18.85546875" style="35" customWidth="1"/>
    <col min="9228" max="9472" width="9.140625" style="35" customWidth="1"/>
    <col min="9473" max="9473" width="62" style="35" customWidth="1"/>
    <col min="9474" max="9474" width="32.28515625" style="35" customWidth="1"/>
    <col min="9475" max="9475" width="11.85546875" style="35" customWidth="1"/>
    <col min="9476" max="9478" width="5.28515625" style="35" customWidth="1"/>
    <col min="9479" max="9481" width="6.42578125" style="35" customWidth="1"/>
    <col min="9482" max="9483" width="18.85546875" style="35" customWidth="1"/>
    <col min="9484" max="9728" width="9.140625" style="35" customWidth="1"/>
    <col min="9729" max="9729" width="62" style="35" customWidth="1"/>
    <col min="9730" max="9730" width="32.28515625" style="35" customWidth="1"/>
    <col min="9731" max="9731" width="11.85546875" style="35" customWidth="1"/>
    <col min="9732" max="9734" width="5.28515625" style="35" customWidth="1"/>
    <col min="9735" max="9737" width="6.42578125" style="35" customWidth="1"/>
    <col min="9738" max="9739" width="18.85546875" style="35" customWidth="1"/>
    <col min="9740" max="9984" width="9.140625" style="35" customWidth="1"/>
    <col min="9985" max="9985" width="62" style="35" customWidth="1"/>
    <col min="9986" max="9986" width="32.28515625" style="35" customWidth="1"/>
    <col min="9987" max="9987" width="11.85546875" style="35" customWidth="1"/>
    <col min="9988" max="9990" width="5.28515625" style="35" customWidth="1"/>
    <col min="9991" max="9993" width="6.42578125" style="35" customWidth="1"/>
    <col min="9994" max="9995" width="18.85546875" style="35" customWidth="1"/>
    <col min="9996" max="10240" width="9.140625" style="35" customWidth="1"/>
    <col min="10241" max="10241" width="62" style="35" customWidth="1"/>
    <col min="10242" max="10242" width="32.28515625" style="35" customWidth="1"/>
    <col min="10243" max="10243" width="11.85546875" style="35" customWidth="1"/>
    <col min="10244" max="10246" width="5.28515625" style="35" customWidth="1"/>
    <col min="10247" max="10249" width="6.42578125" style="35" customWidth="1"/>
    <col min="10250" max="10251" width="18.85546875" style="35" customWidth="1"/>
    <col min="10252" max="10496" width="9.140625" style="35" customWidth="1"/>
    <col min="10497" max="10497" width="62" style="35" customWidth="1"/>
    <col min="10498" max="10498" width="32.28515625" style="35" customWidth="1"/>
    <col min="10499" max="10499" width="11.85546875" style="35" customWidth="1"/>
    <col min="10500" max="10502" width="5.28515625" style="35" customWidth="1"/>
    <col min="10503" max="10505" width="6.42578125" style="35" customWidth="1"/>
    <col min="10506" max="10507" width="18.85546875" style="35" customWidth="1"/>
    <col min="10508" max="10752" width="9.140625" style="35" customWidth="1"/>
    <col min="10753" max="10753" width="62" style="35" customWidth="1"/>
    <col min="10754" max="10754" width="32.28515625" style="35" customWidth="1"/>
    <col min="10755" max="10755" width="11.85546875" style="35" customWidth="1"/>
    <col min="10756" max="10758" width="5.28515625" style="35" customWidth="1"/>
    <col min="10759" max="10761" width="6.42578125" style="35" customWidth="1"/>
    <col min="10762" max="10763" width="18.85546875" style="35" customWidth="1"/>
    <col min="10764" max="11008" width="9.140625" style="35" customWidth="1"/>
    <col min="11009" max="11009" width="62" style="35" customWidth="1"/>
    <col min="11010" max="11010" width="32.28515625" style="35" customWidth="1"/>
    <col min="11011" max="11011" width="11.85546875" style="35" customWidth="1"/>
    <col min="11012" max="11014" width="5.28515625" style="35" customWidth="1"/>
    <col min="11015" max="11017" width="6.42578125" style="35" customWidth="1"/>
    <col min="11018" max="11019" width="18.85546875" style="35" customWidth="1"/>
    <col min="11020" max="11264" width="9.140625" style="35" customWidth="1"/>
    <col min="11265" max="11265" width="62" style="35" customWidth="1"/>
    <col min="11266" max="11266" width="32.28515625" style="35" customWidth="1"/>
    <col min="11267" max="11267" width="11.85546875" style="35" customWidth="1"/>
    <col min="11268" max="11270" width="5.28515625" style="35" customWidth="1"/>
    <col min="11271" max="11273" width="6.42578125" style="35" customWidth="1"/>
    <col min="11274" max="11275" width="18.85546875" style="35" customWidth="1"/>
    <col min="11276" max="11520" width="9.140625" style="35" customWidth="1"/>
    <col min="11521" max="11521" width="62" style="35" customWidth="1"/>
    <col min="11522" max="11522" width="32.28515625" style="35" customWidth="1"/>
    <col min="11523" max="11523" width="11.85546875" style="35" customWidth="1"/>
    <col min="11524" max="11526" width="5.28515625" style="35" customWidth="1"/>
    <col min="11527" max="11529" width="6.42578125" style="35" customWidth="1"/>
    <col min="11530" max="11531" width="18.85546875" style="35" customWidth="1"/>
    <col min="11532" max="11776" width="9.140625" style="35" customWidth="1"/>
    <col min="11777" max="11777" width="62" style="35" customWidth="1"/>
    <col min="11778" max="11778" width="32.28515625" style="35" customWidth="1"/>
    <col min="11779" max="11779" width="11.85546875" style="35" customWidth="1"/>
    <col min="11780" max="11782" width="5.28515625" style="35" customWidth="1"/>
    <col min="11783" max="11785" width="6.42578125" style="35" customWidth="1"/>
    <col min="11786" max="11787" width="18.85546875" style="35" customWidth="1"/>
    <col min="11788" max="12032" width="9.140625" style="35" customWidth="1"/>
    <col min="12033" max="12033" width="62" style="35" customWidth="1"/>
    <col min="12034" max="12034" width="32.28515625" style="35" customWidth="1"/>
    <col min="12035" max="12035" width="11.85546875" style="35" customWidth="1"/>
    <col min="12036" max="12038" width="5.28515625" style="35" customWidth="1"/>
    <col min="12039" max="12041" width="6.42578125" style="35" customWidth="1"/>
    <col min="12042" max="12043" width="18.85546875" style="35" customWidth="1"/>
    <col min="12044" max="12288" width="9.140625" style="35" customWidth="1"/>
    <col min="12289" max="12289" width="62" style="35" customWidth="1"/>
    <col min="12290" max="12290" width="32.28515625" style="35" customWidth="1"/>
    <col min="12291" max="12291" width="11.85546875" style="35" customWidth="1"/>
    <col min="12292" max="12294" width="5.28515625" style="35" customWidth="1"/>
    <col min="12295" max="12297" width="6.42578125" style="35" customWidth="1"/>
    <col min="12298" max="12299" width="18.85546875" style="35" customWidth="1"/>
    <col min="12300" max="12544" width="9.140625" style="35" customWidth="1"/>
    <col min="12545" max="12545" width="62" style="35" customWidth="1"/>
    <col min="12546" max="12546" width="32.28515625" style="35" customWidth="1"/>
    <col min="12547" max="12547" width="11.85546875" style="35" customWidth="1"/>
    <col min="12548" max="12550" width="5.28515625" style="35" customWidth="1"/>
    <col min="12551" max="12553" width="6.42578125" style="35" customWidth="1"/>
    <col min="12554" max="12555" width="18.85546875" style="35" customWidth="1"/>
    <col min="12556" max="12800" width="9.140625" style="35" customWidth="1"/>
    <col min="12801" max="12801" width="62" style="35" customWidth="1"/>
    <col min="12802" max="12802" width="32.28515625" style="35" customWidth="1"/>
    <col min="12803" max="12803" width="11.85546875" style="35" customWidth="1"/>
    <col min="12804" max="12806" width="5.28515625" style="35" customWidth="1"/>
    <col min="12807" max="12809" width="6.42578125" style="35" customWidth="1"/>
    <col min="12810" max="12811" width="18.85546875" style="35" customWidth="1"/>
    <col min="12812" max="13056" width="9.140625" style="35" customWidth="1"/>
    <col min="13057" max="13057" width="62" style="35" customWidth="1"/>
    <col min="13058" max="13058" width="32.28515625" style="35" customWidth="1"/>
    <col min="13059" max="13059" width="11.85546875" style="35" customWidth="1"/>
    <col min="13060" max="13062" width="5.28515625" style="35" customWidth="1"/>
    <col min="13063" max="13065" width="6.42578125" style="35" customWidth="1"/>
    <col min="13066" max="13067" width="18.85546875" style="35" customWidth="1"/>
    <col min="13068" max="13312" width="9.140625" style="35" customWidth="1"/>
    <col min="13313" max="13313" width="62" style="35" customWidth="1"/>
    <col min="13314" max="13314" width="32.28515625" style="35" customWidth="1"/>
    <col min="13315" max="13315" width="11.85546875" style="35" customWidth="1"/>
    <col min="13316" max="13318" width="5.28515625" style="35" customWidth="1"/>
    <col min="13319" max="13321" width="6.42578125" style="35" customWidth="1"/>
    <col min="13322" max="13323" width="18.85546875" style="35" customWidth="1"/>
    <col min="13324" max="13568" width="9.140625" style="35" customWidth="1"/>
    <col min="13569" max="13569" width="62" style="35" customWidth="1"/>
    <col min="13570" max="13570" width="32.28515625" style="35" customWidth="1"/>
    <col min="13571" max="13571" width="11.85546875" style="35" customWidth="1"/>
    <col min="13572" max="13574" width="5.28515625" style="35" customWidth="1"/>
    <col min="13575" max="13577" width="6.42578125" style="35" customWidth="1"/>
    <col min="13578" max="13579" width="18.85546875" style="35" customWidth="1"/>
    <col min="13580" max="13824" width="9.140625" style="35" customWidth="1"/>
    <col min="13825" max="13825" width="62" style="35" customWidth="1"/>
    <col min="13826" max="13826" width="32.28515625" style="35" customWidth="1"/>
    <col min="13827" max="13827" width="11.85546875" style="35" customWidth="1"/>
    <col min="13828" max="13830" width="5.28515625" style="35" customWidth="1"/>
    <col min="13831" max="13833" width="6.42578125" style="35" customWidth="1"/>
    <col min="13834" max="13835" width="18.85546875" style="35" customWidth="1"/>
    <col min="13836" max="14080" width="9.140625" style="35" customWidth="1"/>
    <col min="14081" max="14081" width="62" style="35" customWidth="1"/>
    <col min="14082" max="14082" width="32.28515625" style="35" customWidth="1"/>
    <col min="14083" max="14083" width="11.85546875" style="35" customWidth="1"/>
    <col min="14084" max="14086" width="5.28515625" style="35" customWidth="1"/>
    <col min="14087" max="14089" width="6.42578125" style="35" customWidth="1"/>
    <col min="14090" max="14091" width="18.85546875" style="35" customWidth="1"/>
    <col min="14092" max="14336" width="9.140625" style="35" customWidth="1"/>
    <col min="14337" max="14337" width="62" style="35" customWidth="1"/>
    <col min="14338" max="14338" width="32.28515625" style="35" customWidth="1"/>
    <col min="14339" max="14339" width="11.85546875" style="35" customWidth="1"/>
    <col min="14340" max="14342" width="5.28515625" style="35" customWidth="1"/>
    <col min="14343" max="14345" width="6.42578125" style="35" customWidth="1"/>
    <col min="14346" max="14347" width="18.85546875" style="35" customWidth="1"/>
    <col min="14348" max="14592" width="9.140625" style="35" customWidth="1"/>
    <col min="14593" max="14593" width="62" style="35" customWidth="1"/>
    <col min="14594" max="14594" width="32.28515625" style="35" customWidth="1"/>
    <col min="14595" max="14595" width="11.85546875" style="35" customWidth="1"/>
    <col min="14596" max="14598" width="5.28515625" style="35" customWidth="1"/>
    <col min="14599" max="14601" width="6.42578125" style="35" customWidth="1"/>
    <col min="14602" max="14603" width="18.85546875" style="35" customWidth="1"/>
    <col min="14604" max="14848" width="9.140625" style="35" customWidth="1"/>
    <col min="14849" max="14849" width="62" style="35" customWidth="1"/>
    <col min="14850" max="14850" width="32.28515625" style="35" customWidth="1"/>
    <col min="14851" max="14851" width="11.85546875" style="35" customWidth="1"/>
    <col min="14852" max="14854" width="5.28515625" style="35" customWidth="1"/>
    <col min="14855" max="14857" width="6.42578125" style="35" customWidth="1"/>
    <col min="14858" max="14859" width="18.85546875" style="35" customWidth="1"/>
    <col min="14860" max="15104" width="9.140625" style="35" customWidth="1"/>
    <col min="15105" max="15105" width="62" style="35" customWidth="1"/>
    <col min="15106" max="15106" width="32.28515625" style="35" customWidth="1"/>
    <col min="15107" max="15107" width="11.85546875" style="35" customWidth="1"/>
    <col min="15108" max="15110" width="5.28515625" style="35" customWidth="1"/>
    <col min="15111" max="15113" width="6.42578125" style="35" customWidth="1"/>
    <col min="15114" max="15115" width="18.85546875" style="35" customWidth="1"/>
    <col min="15116" max="15360" width="9.140625" style="35" customWidth="1"/>
    <col min="15361" max="15361" width="62" style="35" customWidth="1"/>
    <col min="15362" max="15362" width="32.28515625" style="35" customWidth="1"/>
    <col min="15363" max="15363" width="11.85546875" style="35" customWidth="1"/>
    <col min="15364" max="15366" width="5.28515625" style="35" customWidth="1"/>
    <col min="15367" max="15369" width="6.42578125" style="35" customWidth="1"/>
    <col min="15370" max="15371" width="18.85546875" style="35" customWidth="1"/>
    <col min="15372" max="15616" width="9.140625" style="35" customWidth="1"/>
    <col min="15617" max="15617" width="62" style="35" customWidth="1"/>
    <col min="15618" max="15618" width="32.28515625" style="35" customWidth="1"/>
    <col min="15619" max="15619" width="11.85546875" style="35" customWidth="1"/>
    <col min="15620" max="15622" width="5.28515625" style="35" customWidth="1"/>
    <col min="15623" max="15625" width="6.42578125" style="35" customWidth="1"/>
    <col min="15626" max="15627" width="18.85546875" style="35" customWidth="1"/>
    <col min="15628" max="15872" width="9.140625" style="35" customWidth="1"/>
    <col min="15873" max="15873" width="62" style="35" customWidth="1"/>
    <col min="15874" max="15874" width="32.28515625" style="35" customWidth="1"/>
    <col min="15875" max="15875" width="11.85546875" style="35" customWidth="1"/>
    <col min="15876" max="15878" width="5.28515625" style="35" customWidth="1"/>
    <col min="15879" max="15881" width="6.42578125" style="35" customWidth="1"/>
    <col min="15882" max="15883" width="18.85546875" style="35" customWidth="1"/>
    <col min="15884" max="16128" width="9.140625" style="35" customWidth="1"/>
    <col min="16129" max="16129" width="62" style="35" customWidth="1"/>
    <col min="16130" max="16130" width="32.28515625" style="35" customWidth="1"/>
    <col min="16131" max="16131" width="11.85546875" style="35" customWidth="1"/>
    <col min="16132" max="16134" width="5.28515625" style="35" customWidth="1"/>
    <col min="16135" max="16137" width="6.42578125" style="35" customWidth="1"/>
    <col min="16138" max="16139" width="18.85546875" style="35" customWidth="1"/>
    <col min="16140" max="16384" width="9.140625" style="35" customWidth="1"/>
  </cols>
  <sheetData>
    <row r="1" spans="1:11">
      <c r="A1" s="96" t="s">
        <v>75</v>
      </c>
    </row>
    <row r="2" spans="1:11" ht="16.5">
      <c r="A2" s="79" t="s">
        <v>1</v>
      </c>
    </row>
    <row r="3" spans="1:11">
      <c r="A3" s="97" t="s">
        <v>76</v>
      </c>
    </row>
    <row r="4" spans="1:11">
      <c r="A4" s="97" t="s">
        <v>77</v>
      </c>
    </row>
    <row r="5" spans="1:11">
      <c r="A5" s="98" t="s">
        <v>35</v>
      </c>
    </row>
    <row r="6" spans="1:11" ht="15.4" customHeight="1">
      <c r="A6" s="116" t="s">
        <v>78</v>
      </c>
      <c r="B6" s="117"/>
      <c r="C6" s="117"/>
      <c r="D6" s="117"/>
      <c r="E6" s="117"/>
      <c r="F6" s="117"/>
      <c r="G6" s="117"/>
      <c r="H6" s="117"/>
      <c r="I6" s="117"/>
      <c r="J6" s="117"/>
      <c r="K6" s="117"/>
    </row>
    <row r="7" spans="1:11" ht="15.4" customHeight="1" outlineLevel="1">
      <c r="A7" s="116" t="s">
        <v>79</v>
      </c>
      <c r="B7" s="117"/>
      <c r="C7" s="117"/>
      <c r="D7" s="117"/>
      <c r="E7" s="117"/>
      <c r="F7" s="117"/>
      <c r="G7" s="117"/>
      <c r="H7" s="117"/>
      <c r="I7" s="117"/>
      <c r="J7" s="117"/>
      <c r="K7" s="117"/>
    </row>
    <row r="8" spans="1:11" ht="15.4" customHeight="1" outlineLevel="2">
      <c r="A8" s="116" t="s">
        <v>80</v>
      </c>
      <c r="B8" s="117"/>
      <c r="C8" s="117"/>
      <c r="D8" s="117"/>
      <c r="E8" s="117"/>
      <c r="F8" s="117"/>
      <c r="G8" s="117"/>
      <c r="H8" s="117"/>
      <c r="I8" s="117"/>
      <c r="J8" s="117"/>
      <c r="K8" s="117"/>
    </row>
    <row r="9" spans="1:11" outlineLevel="3">
      <c r="A9" s="99" t="s">
        <v>8</v>
      </c>
      <c r="B9" s="99" t="s">
        <v>9</v>
      </c>
      <c r="C9" s="99" t="s">
        <v>10</v>
      </c>
      <c r="D9" s="99" t="s">
        <v>11</v>
      </c>
      <c r="E9" s="99" t="s">
        <v>12</v>
      </c>
      <c r="F9" s="99" t="s">
        <v>13</v>
      </c>
      <c r="G9" s="99" t="s">
        <v>14</v>
      </c>
      <c r="H9" s="99" t="s">
        <v>15</v>
      </c>
      <c r="I9" s="99" t="s">
        <v>16</v>
      </c>
      <c r="J9" s="99" t="s">
        <v>17</v>
      </c>
      <c r="K9" s="99" t="s">
        <v>18</v>
      </c>
    </row>
    <row r="10" spans="1:11" outlineLevel="3">
      <c r="A10" s="100">
        <v>45572</v>
      </c>
      <c r="B10" s="101" t="s">
        <v>81</v>
      </c>
      <c r="C10" s="101" t="s">
        <v>81</v>
      </c>
      <c r="D10" s="102">
        <v>7.82</v>
      </c>
      <c r="E10" s="102">
        <v>7.82</v>
      </c>
      <c r="F10" s="102">
        <v>8</v>
      </c>
      <c r="G10" s="102">
        <v>-0.18</v>
      </c>
      <c r="H10" s="102">
        <v>0.67</v>
      </c>
      <c r="I10" s="102">
        <v>2.7</v>
      </c>
      <c r="J10" s="36" t="s">
        <v>20</v>
      </c>
      <c r="K10" s="36" t="s">
        <v>20</v>
      </c>
    </row>
    <row r="11" spans="1:11" outlineLevel="3">
      <c r="A11" s="100">
        <v>45573</v>
      </c>
      <c r="B11" s="101" t="s">
        <v>82</v>
      </c>
      <c r="C11" s="101" t="s">
        <v>82</v>
      </c>
      <c r="D11" s="102">
        <v>8.4499999999999993</v>
      </c>
      <c r="E11" s="102">
        <v>8.4499999999999993</v>
      </c>
      <c r="F11" s="102">
        <v>8</v>
      </c>
      <c r="G11" s="102">
        <v>0.45</v>
      </c>
      <c r="H11" s="102">
        <v>1.1200000000000001</v>
      </c>
      <c r="I11" s="102">
        <v>3.15</v>
      </c>
      <c r="J11" s="36" t="s">
        <v>20</v>
      </c>
      <c r="K11" s="36" t="s">
        <v>20</v>
      </c>
    </row>
    <row r="12" spans="1:11" outlineLevel="3">
      <c r="A12" s="100">
        <v>45574</v>
      </c>
      <c r="B12" s="103"/>
      <c r="C12" s="103"/>
      <c r="D12" s="102">
        <v>0</v>
      </c>
      <c r="E12" s="102">
        <v>0</v>
      </c>
      <c r="F12" s="102">
        <v>0</v>
      </c>
      <c r="G12" s="102">
        <v>0</v>
      </c>
      <c r="H12" s="102">
        <v>1.1200000000000001</v>
      </c>
      <c r="I12" s="102">
        <v>3.15</v>
      </c>
      <c r="J12" s="36" t="s">
        <v>20</v>
      </c>
      <c r="K12" s="36" t="s">
        <v>20</v>
      </c>
    </row>
    <row r="13" spans="1:11" outlineLevel="3">
      <c r="A13" s="100">
        <v>45575</v>
      </c>
      <c r="B13" s="101" t="s">
        <v>83</v>
      </c>
      <c r="C13" s="101" t="s">
        <v>83</v>
      </c>
      <c r="D13" s="102">
        <v>8.4</v>
      </c>
      <c r="E13" s="102">
        <v>8.4</v>
      </c>
      <c r="F13" s="102">
        <v>8</v>
      </c>
      <c r="G13" s="102">
        <v>0.4</v>
      </c>
      <c r="H13" s="102">
        <v>1.52</v>
      </c>
      <c r="I13" s="102">
        <v>3.55</v>
      </c>
      <c r="J13" s="36" t="s">
        <v>20</v>
      </c>
      <c r="K13" s="36" t="s">
        <v>20</v>
      </c>
    </row>
    <row r="14" spans="1:11" outlineLevel="3">
      <c r="A14" s="100">
        <v>45576</v>
      </c>
      <c r="B14" s="101" t="s">
        <v>84</v>
      </c>
      <c r="C14" s="101" t="s">
        <v>84</v>
      </c>
      <c r="D14" s="102">
        <v>7.27</v>
      </c>
      <c r="E14" s="102">
        <v>7.27</v>
      </c>
      <c r="F14" s="102">
        <v>8</v>
      </c>
      <c r="G14" s="102">
        <v>-0.73</v>
      </c>
      <c r="H14" s="102">
        <v>0.78</v>
      </c>
      <c r="I14" s="102">
        <v>2.82</v>
      </c>
      <c r="J14" s="36" t="s">
        <v>20</v>
      </c>
      <c r="K14" s="36" t="s">
        <v>20</v>
      </c>
    </row>
    <row r="15" spans="1:11" outlineLevel="3">
      <c r="A15" s="100">
        <v>45577</v>
      </c>
      <c r="B15" s="103"/>
      <c r="C15" s="103"/>
      <c r="D15" s="102">
        <v>0</v>
      </c>
      <c r="E15" s="102">
        <v>0</v>
      </c>
      <c r="F15" s="102">
        <v>0</v>
      </c>
      <c r="G15" s="102">
        <v>0</v>
      </c>
      <c r="H15" s="102">
        <v>0.78</v>
      </c>
      <c r="I15" s="102">
        <v>2.82</v>
      </c>
      <c r="J15" s="36" t="s">
        <v>20</v>
      </c>
      <c r="K15" s="36" t="s">
        <v>20</v>
      </c>
    </row>
    <row r="16" spans="1:11" outlineLevel="3">
      <c r="A16" s="100">
        <v>45578</v>
      </c>
      <c r="B16" s="103"/>
      <c r="C16" s="103"/>
      <c r="D16" s="102">
        <v>0</v>
      </c>
      <c r="E16" s="102">
        <v>0</v>
      </c>
      <c r="F16" s="102">
        <v>0</v>
      </c>
      <c r="G16" s="102">
        <v>0</v>
      </c>
      <c r="H16" s="102">
        <v>0.78</v>
      </c>
      <c r="I16" s="102">
        <v>2.82</v>
      </c>
      <c r="J16" s="36" t="s">
        <v>20</v>
      </c>
      <c r="K16" s="36" t="s">
        <v>20</v>
      </c>
    </row>
    <row r="17" spans="1:11" outlineLevel="3">
      <c r="A17" s="85" t="s">
        <v>26</v>
      </c>
      <c r="B17" s="85"/>
      <c r="C17" s="85"/>
      <c r="D17" s="104">
        <v>31.93</v>
      </c>
      <c r="E17" s="104">
        <v>31.93</v>
      </c>
      <c r="F17" s="104">
        <v>32</v>
      </c>
      <c r="G17" s="85"/>
      <c r="H17" s="85"/>
      <c r="I17" s="85"/>
      <c r="J17" s="85"/>
      <c r="K17" s="85"/>
    </row>
    <row r="18" spans="1:11" outlineLevel="3">
      <c r="A18" s="105" t="s">
        <v>20</v>
      </c>
      <c r="B18" s="105"/>
      <c r="C18" s="105"/>
      <c r="D18" s="105"/>
      <c r="E18" s="105"/>
      <c r="F18" s="105"/>
      <c r="G18" s="105"/>
      <c r="H18" s="105"/>
      <c r="I18" s="105"/>
      <c r="J18" s="105"/>
      <c r="K18" s="105"/>
    </row>
    <row r="19" spans="1:11" ht="15.4" customHeight="1" outlineLevel="2">
      <c r="A19" s="116" t="s">
        <v>85</v>
      </c>
      <c r="B19" s="117"/>
      <c r="C19" s="117"/>
      <c r="D19" s="117"/>
      <c r="E19" s="117"/>
      <c r="F19" s="117"/>
      <c r="G19" s="117"/>
      <c r="H19" s="117"/>
      <c r="I19" s="117"/>
      <c r="J19" s="117"/>
      <c r="K19" s="117"/>
    </row>
    <row r="20" spans="1:11" outlineLevel="3">
      <c r="A20" s="99" t="s">
        <v>8</v>
      </c>
      <c r="B20" s="99" t="s">
        <v>9</v>
      </c>
      <c r="C20" s="99" t="s">
        <v>10</v>
      </c>
      <c r="D20" s="99" t="s">
        <v>11</v>
      </c>
      <c r="E20" s="99" t="s">
        <v>12</v>
      </c>
      <c r="F20" s="99" t="s">
        <v>13</v>
      </c>
      <c r="G20" s="99" t="s">
        <v>14</v>
      </c>
      <c r="H20" s="99" t="s">
        <v>15</v>
      </c>
      <c r="I20" s="99" t="s">
        <v>16</v>
      </c>
      <c r="J20" s="99" t="s">
        <v>17</v>
      </c>
      <c r="K20" s="99" t="s">
        <v>18</v>
      </c>
    </row>
    <row r="21" spans="1:11" outlineLevel="3">
      <c r="A21" s="100">
        <v>45579</v>
      </c>
      <c r="B21" s="101" t="s">
        <v>86</v>
      </c>
      <c r="C21" s="101" t="s">
        <v>86</v>
      </c>
      <c r="D21" s="102">
        <v>6.7</v>
      </c>
      <c r="E21" s="102">
        <v>6.63</v>
      </c>
      <c r="F21" s="102">
        <v>8</v>
      </c>
      <c r="G21" s="102">
        <v>-1.37</v>
      </c>
      <c r="H21" s="102">
        <v>-0.57999999999999996</v>
      </c>
      <c r="I21" s="102">
        <v>1.45</v>
      </c>
      <c r="J21" s="36" t="s">
        <v>20</v>
      </c>
      <c r="K21" s="36" t="s">
        <v>20</v>
      </c>
    </row>
    <row r="22" spans="1:11" outlineLevel="3">
      <c r="A22" s="100">
        <v>45580</v>
      </c>
      <c r="B22" s="101" t="s">
        <v>87</v>
      </c>
      <c r="C22" s="101" t="s">
        <v>87</v>
      </c>
      <c r="D22" s="102">
        <v>7.45</v>
      </c>
      <c r="E22" s="102">
        <v>7.45</v>
      </c>
      <c r="F22" s="102">
        <v>8</v>
      </c>
      <c r="G22" s="102">
        <v>-0.55000000000000004</v>
      </c>
      <c r="H22" s="102">
        <v>-1.1299999999999999</v>
      </c>
      <c r="I22" s="102">
        <v>0.9</v>
      </c>
      <c r="J22" s="36" t="s">
        <v>20</v>
      </c>
      <c r="K22" s="36" t="s">
        <v>20</v>
      </c>
    </row>
    <row r="23" spans="1:11" outlineLevel="3">
      <c r="A23" s="100">
        <v>45581</v>
      </c>
      <c r="B23" s="103"/>
      <c r="C23" s="103"/>
      <c r="D23" s="102">
        <v>0</v>
      </c>
      <c r="E23" s="102">
        <v>0</v>
      </c>
      <c r="F23" s="102">
        <v>0</v>
      </c>
      <c r="G23" s="102">
        <v>0</v>
      </c>
      <c r="H23" s="102">
        <v>-1.1299999999999999</v>
      </c>
      <c r="I23" s="102">
        <v>0.9</v>
      </c>
      <c r="J23" s="36" t="s">
        <v>20</v>
      </c>
      <c r="K23" s="36" t="s">
        <v>20</v>
      </c>
    </row>
    <row r="24" spans="1:11" outlineLevel="3">
      <c r="A24" s="100">
        <v>45581</v>
      </c>
      <c r="B24" s="103"/>
      <c r="C24" s="103"/>
      <c r="D24" s="102">
        <v>0</v>
      </c>
      <c r="E24" s="102">
        <v>0</v>
      </c>
      <c r="F24" s="102">
        <v>0</v>
      </c>
      <c r="G24" s="102">
        <v>0</v>
      </c>
      <c r="H24" s="102">
        <v>-1.1299999999999999</v>
      </c>
      <c r="I24" s="102">
        <v>0.9</v>
      </c>
      <c r="J24" s="36" t="s">
        <v>20</v>
      </c>
      <c r="K24" s="36" t="s">
        <v>20</v>
      </c>
    </row>
    <row r="25" spans="1:11" outlineLevel="3">
      <c r="A25" s="100">
        <v>45581</v>
      </c>
      <c r="B25" s="103"/>
      <c r="C25" s="103"/>
      <c r="D25" s="102">
        <v>0</v>
      </c>
      <c r="E25" s="102">
        <v>0</v>
      </c>
      <c r="F25" s="102">
        <v>0</v>
      </c>
      <c r="G25" s="102">
        <v>0</v>
      </c>
      <c r="H25" s="102">
        <v>-1.1299999999999999</v>
      </c>
      <c r="I25" s="102">
        <v>0.9</v>
      </c>
      <c r="J25" s="36" t="s">
        <v>20</v>
      </c>
      <c r="K25" s="36" t="s">
        <v>20</v>
      </c>
    </row>
    <row r="26" spans="1:11" outlineLevel="3">
      <c r="A26" s="100">
        <v>45581</v>
      </c>
      <c r="B26" s="103"/>
      <c r="C26" s="103"/>
      <c r="D26" s="102">
        <v>0</v>
      </c>
      <c r="E26" s="102">
        <v>0</v>
      </c>
      <c r="F26" s="102">
        <v>0</v>
      </c>
      <c r="G26" s="102">
        <v>0</v>
      </c>
      <c r="H26" s="102">
        <v>-1.1299999999999999</v>
      </c>
      <c r="I26" s="102">
        <v>0.9</v>
      </c>
      <c r="J26" s="36" t="s">
        <v>20</v>
      </c>
      <c r="K26" s="36" t="s">
        <v>20</v>
      </c>
    </row>
    <row r="27" spans="1:11" outlineLevel="3">
      <c r="A27" s="100">
        <v>45582</v>
      </c>
      <c r="B27" s="101" t="s">
        <v>88</v>
      </c>
      <c r="C27" s="101" t="s">
        <v>88</v>
      </c>
      <c r="D27" s="102">
        <v>9.02</v>
      </c>
      <c r="E27" s="102">
        <v>9.02</v>
      </c>
      <c r="F27" s="102">
        <v>8</v>
      </c>
      <c r="G27" s="102">
        <v>1.02</v>
      </c>
      <c r="H27" s="102">
        <v>-0.12</v>
      </c>
      <c r="I27" s="102">
        <v>1.92</v>
      </c>
      <c r="J27" s="36" t="s">
        <v>20</v>
      </c>
      <c r="K27" s="36" t="s">
        <v>20</v>
      </c>
    </row>
    <row r="28" spans="1:11" outlineLevel="3">
      <c r="A28" s="100">
        <v>45583</v>
      </c>
      <c r="B28" s="103"/>
      <c r="C28" s="103"/>
      <c r="D28" s="102">
        <v>0</v>
      </c>
      <c r="E28" s="102">
        <v>0</v>
      </c>
      <c r="F28" s="102">
        <v>8</v>
      </c>
      <c r="G28" s="102">
        <v>0</v>
      </c>
      <c r="H28" s="102">
        <v>-0.12</v>
      </c>
      <c r="I28" s="102">
        <v>1.92</v>
      </c>
      <c r="J28" s="36" t="s">
        <v>89</v>
      </c>
      <c r="K28" s="36" t="s">
        <v>20</v>
      </c>
    </row>
    <row r="29" spans="1:11" outlineLevel="3">
      <c r="A29" s="100">
        <v>45584</v>
      </c>
      <c r="B29" s="103"/>
      <c r="C29" s="103"/>
      <c r="D29" s="102">
        <v>0</v>
      </c>
      <c r="E29" s="102">
        <v>0</v>
      </c>
      <c r="F29" s="102">
        <v>0</v>
      </c>
      <c r="G29" s="102">
        <v>0</v>
      </c>
      <c r="H29" s="102">
        <v>-0.12</v>
      </c>
      <c r="I29" s="102">
        <v>1.92</v>
      </c>
      <c r="J29" s="36" t="s">
        <v>20</v>
      </c>
      <c r="K29" s="36" t="s">
        <v>20</v>
      </c>
    </row>
    <row r="30" spans="1:11" outlineLevel="3">
      <c r="A30" s="100">
        <v>45584</v>
      </c>
      <c r="B30" s="103"/>
      <c r="C30" s="103"/>
      <c r="D30" s="102">
        <v>0</v>
      </c>
      <c r="E30" s="102">
        <v>0</v>
      </c>
      <c r="F30" s="102">
        <v>0</v>
      </c>
      <c r="G30" s="102">
        <v>0</v>
      </c>
      <c r="H30" s="102">
        <v>-0.12</v>
      </c>
      <c r="I30" s="102">
        <v>1.92</v>
      </c>
      <c r="J30" s="36" t="s">
        <v>20</v>
      </c>
      <c r="K30" s="36" t="s">
        <v>20</v>
      </c>
    </row>
    <row r="31" spans="1:11" outlineLevel="3">
      <c r="A31" s="100">
        <v>45584</v>
      </c>
      <c r="B31" s="103"/>
      <c r="C31" s="103"/>
      <c r="D31" s="102">
        <v>0</v>
      </c>
      <c r="E31" s="102">
        <v>0</v>
      </c>
      <c r="F31" s="102">
        <v>0</v>
      </c>
      <c r="G31" s="102">
        <v>0</v>
      </c>
      <c r="H31" s="102">
        <v>-0.12</v>
      </c>
      <c r="I31" s="102">
        <v>1.92</v>
      </c>
      <c r="J31" s="36" t="s">
        <v>20</v>
      </c>
      <c r="K31" s="36" t="s">
        <v>20</v>
      </c>
    </row>
    <row r="32" spans="1:11" outlineLevel="3">
      <c r="A32" s="100">
        <v>45584</v>
      </c>
      <c r="B32" s="103"/>
      <c r="C32" s="103"/>
      <c r="D32" s="102">
        <v>0</v>
      </c>
      <c r="E32" s="102">
        <v>0</v>
      </c>
      <c r="F32" s="102">
        <v>0</v>
      </c>
      <c r="G32" s="102">
        <v>0</v>
      </c>
      <c r="H32" s="102">
        <v>-0.12</v>
      </c>
      <c r="I32" s="102">
        <v>1.92</v>
      </c>
      <c r="J32" s="36" t="s">
        <v>20</v>
      </c>
      <c r="K32" s="36" t="s">
        <v>20</v>
      </c>
    </row>
    <row r="33" spans="1:11" outlineLevel="3">
      <c r="A33" s="100">
        <v>45585</v>
      </c>
      <c r="B33" s="103"/>
      <c r="C33" s="103"/>
      <c r="D33" s="102">
        <v>0</v>
      </c>
      <c r="E33" s="102">
        <v>0</v>
      </c>
      <c r="F33" s="102">
        <v>0</v>
      </c>
      <c r="G33" s="102">
        <v>0</v>
      </c>
      <c r="H33" s="102">
        <v>-0.12</v>
      </c>
      <c r="I33" s="102">
        <v>1.92</v>
      </c>
      <c r="J33" s="36" t="s">
        <v>20</v>
      </c>
      <c r="K33" s="36" t="s">
        <v>20</v>
      </c>
    </row>
    <row r="34" spans="1:11" outlineLevel="3">
      <c r="A34" s="100">
        <v>45585</v>
      </c>
      <c r="B34" s="103"/>
      <c r="C34" s="103"/>
      <c r="D34" s="102">
        <v>0</v>
      </c>
      <c r="E34" s="102">
        <v>0</v>
      </c>
      <c r="F34" s="102">
        <v>0</v>
      </c>
      <c r="G34" s="102">
        <v>0</v>
      </c>
      <c r="H34" s="102">
        <v>-0.12</v>
      </c>
      <c r="I34" s="102">
        <v>1.92</v>
      </c>
      <c r="J34" s="36" t="s">
        <v>20</v>
      </c>
      <c r="K34" s="36" t="s">
        <v>20</v>
      </c>
    </row>
    <row r="35" spans="1:11" outlineLevel="3">
      <c r="A35" s="100">
        <v>45585</v>
      </c>
      <c r="B35" s="103"/>
      <c r="C35" s="103"/>
      <c r="D35" s="102">
        <v>0</v>
      </c>
      <c r="E35" s="102">
        <v>0</v>
      </c>
      <c r="F35" s="102">
        <v>0</v>
      </c>
      <c r="G35" s="102">
        <v>0</v>
      </c>
      <c r="H35" s="102">
        <v>-0.12</v>
      </c>
      <c r="I35" s="102">
        <v>1.92</v>
      </c>
      <c r="J35" s="36" t="s">
        <v>20</v>
      </c>
      <c r="K35" s="36" t="s">
        <v>20</v>
      </c>
    </row>
    <row r="36" spans="1:11" outlineLevel="3">
      <c r="A36" s="100">
        <v>45585</v>
      </c>
      <c r="B36" s="103"/>
      <c r="C36" s="103"/>
      <c r="D36" s="102">
        <v>0</v>
      </c>
      <c r="E36" s="102">
        <v>0</v>
      </c>
      <c r="F36" s="102">
        <v>0</v>
      </c>
      <c r="G36" s="102">
        <v>0</v>
      </c>
      <c r="H36" s="102">
        <v>-0.12</v>
      </c>
      <c r="I36" s="102">
        <v>1.92</v>
      </c>
      <c r="J36" s="36" t="s">
        <v>20</v>
      </c>
      <c r="K36" s="36" t="s">
        <v>20</v>
      </c>
    </row>
    <row r="37" spans="1:11" outlineLevel="3">
      <c r="A37" s="85" t="s">
        <v>26</v>
      </c>
      <c r="B37" s="85"/>
      <c r="C37" s="85"/>
      <c r="D37" s="104">
        <v>23.17</v>
      </c>
      <c r="E37" s="104">
        <v>23.1</v>
      </c>
      <c r="F37" s="104">
        <v>32</v>
      </c>
      <c r="G37" s="85"/>
      <c r="H37" s="85"/>
      <c r="I37" s="85"/>
      <c r="J37" s="85"/>
      <c r="K37" s="85"/>
    </row>
    <row r="38" spans="1:11" outlineLevel="3">
      <c r="A38" s="105" t="s">
        <v>20</v>
      </c>
      <c r="B38" s="105"/>
      <c r="C38" s="105"/>
      <c r="D38" s="105"/>
      <c r="E38" s="105"/>
      <c r="F38" s="105"/>
      <c r="G38" s="105"/>
      <c r="H38" s="105"/>
      <c r="I38" s="105"/>
      <c r="J38" s="105"/>
      <c r="K38" s="105"/>
    </row>
    <row r="39" spans="1:11" ht="15.4" customHeight="1" outlineLevel="2">
      <c r="A39" s="116" t="s">
        <v>90</v>
      </c>
      <c r="B39" s="117"/>
      <c r="C39" s="117"/>
      <c r="D39" s="117"/>
      <c r="E39" s="117"/>
      <c r="F39" s="117"/>
      <c r="G39" s="117"/>
      <c r="H39" s="117"/>
      <c r="I39" s="117"/>
      <c r="J39" s="117"/>
      <c r="K39" s="117"/>
    </row>
    <row r="40" spans="1:11" outlineLevel="3">
      <c r="A40" s="99" t="s">
        <v>8</v>
      </c>
      <c r="B40" s="99" t="s">
        <v>9</v>
      </c>
      <c r="C40" s="99" t="s">
        <v>10</v>
      </c>
      <c r="D40" s="99" t="s">
        <v>11</v>
      </c>
      <c r="E40" s="99" t="s">
        <v>12</v>
      </c>
      <c r="F40" s="99" t="s">
        <v>13</v>
      </c>
      <c r="G40" s="99" t="s">
        <v>14</v>
      </c>
      <c r="H40" s="99" t="s">
        <v>15</v>
      </c>
      <c r="I40" s="99" t="s">
        <v>16</v>
      </c>
      <c r="J40" s="99" t="s">
        <v>17</v>
      </c>
      <c r="K40" s="99" t="s">
        <v>18</v>
      </c>
    </row>
    <row r="41" spans="1:11" outlineLevel="3">
      <c r="A41" s="100">
        <v>45586</v>
      </c>
      <c r="B41" s="101" t="s">
        <v>91</v>
      </c>
      <c r="C41" s="101" t="s">
        <v>91</v>
      </c>
      <c r="D41" s="102">
        <v>8.52</v>
      </c>
      <c r="E41" s="102">
        <v>8.52</v>
      </c>
      <c r="F41" s="102">
        <v>8</v>
      </c>
      <c r="G41" s="102">
        <v>0.52</v>
      </c>
      <c r="H41" s="102">
        <v>0.4</v>
      </c>
      <c r="I41" s="102">
        <v>2.4300000000000002</v>
      </c>
      <c r="J41" s="36" t="s">
        <v>20</v>
      </c>
      <c r="K41" s="36" t="s">
        <v>20</v>
      </c>
    </row>
    <row r="42" spans="1:11" outlineLevel="3">
      <c r="A42" s="100">
        <v>45587</v>
      </c>
      <c r="B42" s="101" t="s">
        <v>92</v>
      </c>
      <c r="C42" s="101" t="s">
        <v>92</v>
      </c>
      <c r="D42" s="102">
        <v>6.1</v>
      </c>
      <c r="E42" s="102">
        <v>6.1</v>
      </c>
      <c r="F42" s="102">
        <v>8</v>
      </c>
      <c r="G42" s="102">
        <v>-1.9</v>
      </c>
      <c r="H42" s="102">
        <v>-1.5</v>
      </c>
      <c r="I42" s="102">
        <v>0.53</v>
      </c>
      <c r="J42" s="36" t="s">
        <v>20</v>
      </c>
      <c r="K42" s="36" t="s">
        <v>20</v>
      </c>
    </row>
    <row r="43" spans="1:11" outlineLevel="3">
      <c r="A43" s="100">
        <v>45588</v>
      </c>
      <c r="B43" s="103"/>
      <c r="C43" s="103"/>
      <c r="D43" s="102">
        <v>0</v>
      </c>
      <c r="E43" s="102">
        <v>0</v>
      </c>
      <c r="F43" s="102">
        <v>0</v>
      </c>
      <c r="G43" s="102">
        <v>0</v>
      </c>
      <c r="H43" s="102">
        <v>-1.5</v>
      </c>
      <c r="I43" s="102">
        <v>0.53</v>
      </c>
      <c r="J43" s="36" t="s">
        <v>20</v>
      </c>
      <c r="K43" s="36" t="s">
        <v>20</v>
      </c>
    </row>
    <row r="44" spans="1:11" outlineLevel="3">
      <c r="A44" s="100">
        <v>45588</v>
      </c>
      <c r="B44" s="103"/>
      <c r="C44" s="103"/>
      <c r="D44" s="102">
        <v>0</v>
      </c>
      <c r="E44" s="102">
        <v>0</v>
      </c>
      <c r="F44" s="102">
        <v>0</v>
      </c>
      <c r="G44" s="102">
        <v>0</v>
      </c>
      <c r="H44" s="102">
        <v>-1.5</v>
      </c>
      <c r="I44" s="102">
        <v>0.53</v>
      </c>
      <c r="J44" s="36" t="s">
        <v>20</v>
      </c>
      <c r="K44" s="36" t="s">
        <v>20</v>
      </c>
    </row>
    <row r="45" spans="1:11" outlineLevel="3">
      <c r="A45" s="100">
        <v>45588</v>
      </c>
      <c r="B45" s="103"/>
      <c r="C45" s="103"/>
      <c r="D45" s="102">
        <v>0</v>
      </c>
      <c r="E45" s="102">
        <v>0</v>
      </c>
      <c r="F45" s="102">
        <v>0</v>
      </c>
      <c r="G45" s="102">
        <v>0</v>
      </c>
      <c r="H45" s="102">
        <v>-1.5</v>
      </c>
      <c r="I45" s="102">
        <v>0.53</v>
      </c>
      <c r="J45" s="36" t="s">
        <v>20</v>
      </c>
      <c r="K45" s="36" t="s">
        <v>20</v>
      </c>
    </row>
    <row r="46" spans="1:11" outlineLevel="3">
      <c r="A46" s="100">
        <v>45588</v>
      </c>
      <c r="B46" s="103"/>
      <c r="C46" s="103"/>
      <c r="D46" s="102">
        <v>0</v>
      </c>
      <c r="E46" s="102">
        <v>0</v>
      </c>
      <c r="F46" s="102">
        <v>0</v>
      </c>
      <c r="G46" s="102">
        <v>0</v>
      </c>
      <c r="H46" s="102">
        <v>-1.5</v>
      </c>
      <c r="I46" s="102">
        <v>0.53</v>
      </c>
      <c r="J46" s="36" t="s">
        <v>20</v>
      </c>
      <c r="K46" s="36" t="s">
        <v>20</v>
      </c>
    </row>
    <row r="47" spans="1:11" outlineLevel="3">
      <c r="A47" s="100">
        <v>45589</v>
      </c>
      <c r="B47" s="101" t="s">
        <v>93</v>
      </c>
      <c r="C47" s="101" t="s">
        <v>93</v>
      </c>
      <c r="D47" s="102">
        <v>8.8800000000000008</v>
      </c>
      <c r="E47" s="102">
        <v>8.8800000000000008</v>
      </c>
      <c r="F47" s="102">
        <v>8</v>
      </c>
      <c r="G47" s="102">
        <v>0.88</v>
      </c>
      <c r="H47" s="102">
        <v>-0.62</v>
      </c>
      <c r="I47" s="102">
        <v>1.42</v>
      </c>
      <c r="J47" s="36" t="s">
        <v>20</v>
      </c>
      <c r="K47" s="36" t="s">
        <v>20</v>
      </c>
    </row>
    <row r="48" spans="1:11" outlineLevel="3">
      <c r="A48" s="100">
        <v>45590</v>
      </c>
      <c r="B48" s="101" t="s">
        <v>94</v>
      </c>
      <c r="C48" s="101" t="s">
        <v>94</v>
      </c>
      <c r="D48" s="102">
        <v>8.67</v>
      </c>
      <c r="E48" s="102">
        <v>8.67</v>
      </c>
      <c r="F48" s="102">
        <v>8</v>
      </c>
      <c r="G48" s="102">
        <v>0.67</v>
      </c>
      <c r="H48" s="102">
        <v>0.05</v>
      </c>
      <c r="I48" s="102">
        <v>2.08</v>
      </c>
      <c r="J48" s="36" t="s">
        <v>20</v>
      </c>
      <c r="K48" s="36" t="s">
        <v>20</v>
      </c>
    </row>
    <row r="49" spans="1:11" outlineLevel="3">
      <c r="A49" s="100">
        <v>45591</v>
      </c>
      <c r="B49" s="103"/>
      <c r="C49" s="103"/>
      <c r="D49" s="102">
        <v>0</v>
      </c>
      <c r="E49" s="102">
        <v>0</v>
      </c>
      <c r="F49" s="102">
        <v>0</v>
      </c>
      <c r="G49" s="102">
        <v>0</v>
      </c>
      <c r="H49" s="102">
        <v>0.05</v>
      </c>
      <c r="I49" s="102">
        <v>2.08</v>
      </c>
      <c r="J49" s="36" t="s">
        <v>20</v>
      </c>
      <c r="K49" s="36" t="s">
        <v>20</v>
      </c>
    </row>
    <row r="50" spans="1:11" outlineLevel="3">
      <c r="A50" s="100">
        <v>45591</v>
      </c>
      <c r="B50" s="103"/>
      <c r="C50" s="103"/>
      <c r="D50" s="102">
        <v>0</v>
      </c>
      <c r="E50" s="102">
        <v>0</v>
      </c>
      <c r="F50" s="102">
        <v>0</v>
      </c>
      <c r="G50" s="102">
        <v>0</v>
      </c>
      <c r="H50" s="102">
        <v>0.05</v>
      </c>
      <c r="I50" s="102">
        <v>2.08</v>
      </c>
      <c r="J50" s="36" t="s">
        <v>20</v>
      </c>
      <c r="K50" s="36" t="s">
        <v>20</v>
      </c>
    </row>
    <row r="51" spans="1:11" outlineLevel="3">
      <c r="A51" s="100">
        <v>45591</v>
      </c>
      <c r="B51" s="103"/>
      <c r="C51" s="103"/>
      <c r="D51" s="102">
        <v>0</v>
      </c>
      <c r="E51" s="102">
        <v>0</v>
      </c>
      <c r="F51" s="102">
        <v>0</v>
      </c>
      <c r="G51" s="102">
        <v>0</v>
      </c>
      <c r="H51" s="102">
        <v>0.05</v>
      </c>
      <c r="I51" s="102">
        <v>2.08</v>
      </c>
      <c r="J51" s="36" t="s">
        <v>20</v>
      </c>
      <c r="K51" s="36" t="s">
        <v>20</v>
      </c>
    </row>
    <row r="52" spans="1:11" outlineLevel="3">
      <c r="A52" s="100">
        <v>45591</v>
      </c>
      <c r="B52" s="103"/>
      <c r="C52" s="103"/>
      <c r="D52" s="102">
        <v>0</v>
      </c>
      <c r="E52" s="102">
        <v>0</v>
      </c>
      <c r="F52" s="102">
        <v>0</v>
      </c>
      <c r="G52" s="102">
        <v>0</v>
      </c>
      <c r="H52" s="102">
        <v>0.05</v>
      </c>
      <c r="I52" s="102">
        <v>2.08</v>
      </c>
      <c r="J52" s="36" t="s">
        <v>20</v>
      </c>
      <c r="K52" s="36" t="s">
        <v>20</v>
      </c>
    </row>
    <row r="53" spans="1:11" outlineLevel="3">
      <c r="A53" s="100">
        <v>45592</v>
      </c>
      <c r="B53" s="103"/>
      <c r="C53" s="103"/>
      <c r="D53" s="102">
        <v>0</v>
      </c>
      <c r="E53" s="102">
        <v>0</v>
      </c>
      <c r="F53" s="102">
        <v>0</v>
      </c>
      <c r="G53" s="102">
        <v>0</v>
      </c>
      <c r="H53" s="102">
        <v>0.05</v>
      </c>
      <c r="I53" s="102">
        <v>2.08</v>
      </c>
      <c r="J53" s="36" t="s">
        <v>20</v>
      </c>
      <c r="K53" s="36" t="s">
        <v>20</v>
      </c>
    </row>
    <row r="54" spans="1:11" outlineLevel="3">
      <c r="A54" s="100">
        <v>45592</v>
      </c>
      <c r="B54" s="103"/>
      <c r="C54" s="103"/>
      <c r="D54" s="102">
        <v>0</v>
      </c>
      <c r="E54" s="102">
        <v>0</v>
      </c>
      <c r="F54" s="102">
        <v>0</v>
      </c>
      <c r="G54" s="102">
        <v>0</v>
      </c>
      <c r="H54" s="102">
        <v>0.05</v>
      </c>
      <c r="I54" s="102">
        <v>2.08</v>
      </c>
      <c r="J54" s="36" t="s">
        <v>20</v>
      </c>
      <c r="K54" s="36" t="s">
        <v>20</v>
      </c>
    </row>
    <row r="55" spans="1:11" outlineLevel="3">
      <c r="A55" s="100">
        <v>45592</v>
      </c>
      <c r="B55" s="103"/>
      <c r="C55" s="103"/>
      <c r="D55" s="102">
        <v>0</v>
      </c>
      <c r="E55" s="102">
        <v>0</v>
      </c>
      <c r="F55" s="102">
        <v>0</v>
      </c>
      <c r="G55" s="102">
        <v>0</v>
      </c>
      <c r="H55" s="102">
        <v>0.05</v>
      </c>
      <c r="I55" s="102">
        <v>2.08</v>
      </c>
      <c r="J55" s="36" t="s">
        <v>20</v>
      </c>
      <c r="K55" s="36" t="s">
        <v>20</v>
      </c>
    </row>
    <row r="56" spans="1:11" outlineLevel="3">
      <c r="A56" s="100">
        <v>45592</v>
      </c>
      <c r="B56" s="103"/>
      <c r="C56" s="103"/>
      <c r="D56" s="102">
        <v>0</v>
      </c>
      <c r="E56" s="102">
        <v>0</v>
      </c>
      <c r="F56" s="102">
        <v>0</v>
      </c>
      <c r="G56" s="102">
        <v>0</v>
      </c>
      <c r="H56" s="102">
        <v>0.05</v>
      </c>
      <c r="I56" s="102">
        <v>2.08</v>
      </c>
      <c r="J56" s="36" t="s">
        <v>20</v>
      </c>
      <c r="K56" s="36" t="s">
        <v>20</v>
      </c>
    </row>
    <row r="57" spans="1:11" outlineLevel="3">
      <c r="A57" s="85" t="s">
        <v>26</v>
      </c>
      <c r="B57" s="85"/>
      <c r="C57" s="85"/>
      <c r="D57" s="104">
        <v>32.17</v>
      </c>
      <c r="E57" s="104">
        <v>32.17</v>
      </c>
      <c r="F57" s="104">
        <v>32</v>
      </c>
      <c r="G57" s="85"/>
      <c r="H57" s="85"/>
      <c r="I57" s="85"/>
      <c r="J57" s="85"/>
      <c r="K57" s="85"/>
    </row>
    <row r="58" spans="1:11" outlineLevel="3">
      <c r="A58" s="105" t="s">
        <v>20</v>
      </c>
      <c r="B58" s="105"/>
      <c r="C58" s="105"/>
      <c r="D58" s="105"/>
      <c r="E58" s="105"/>
      <c r="F58" s="105"/>
      <c r="G58" s="105"/>
      <c r="H58" s="105"/>
      <c r="I58" s="105"/>
      <c r="J58" s="105"/>
      <c r="K58" s="105"/>
    </row>
    <row r="59" spans="1:11" outlineLevel="2">
      <c r="A59" s="85" t="s">
        <v>27</v>
      </c>
      <c r="B59" s="105"/>
      <c r="C59" s="105"/>
      <c r="D59" s="102">
        <v>87.27</v>
      </c>
      <c r="E59" s="102">
        <v>87.2</v>
      </c>
      <c r="F59" s="102">
        <v>96</v>
      </c>
      <c r="G59" s="105"/>
      <c r="H59" s="105"/>
      <c r="I59" s="105"/>
      <c r="J59" s="105"/>
      <c r="K59" s="105"/>
    </row>
    <row r="60" spans="1:11" outlineLevel="1">
      <c r="A60" s="85" t="s">
        <v>28</v>
      </c>
      <c r="B60" s="105"/>
      <c r="C60" s="105"/>
      <c r="D60" s="102">
        <v>87.27</v>
      </c>
      <c r="E60" s="102">
        <v>87.2</v>
      </c>
      <c r="F60" s="102">
        <v>96</v>
      </c>
      <c r="G60" s="105"/>
      <c r="H60" s="105"/>
      <c r="I60" s="105"/>
      <c r="J60" s="105"/>
      <c r="K60" s="105"/>
    </row>
    <row r="61" spans="1:11">
      <c r="A61" s="85" t="s">
        <v>29</v>
      </c>
      <c r="B61" s="105"/>
      <c r="C61" s="105"/>
      <c r="D61" s="102">
        <v>87.27</v>
      </c>
      <c r="E61" s="102">
        <v>87.2</v>
      </c>
      <c r="F61" s="102">
        <v>96</v>
      </c>
      <c r="G61" s="105"/>
      <c r="H61" s="105"/>
      <c r="I61" s="105"/>
      <c r="J61" s="105"/>
      <c r="K61" s="105"/>
    </row>
    <row r="62" spans="1:11">
      <c r="A62" s="106"/>
      <c r="B62" s="107" t="s">
        <v>30</v>
      </c>
      <c r="C62" s="108" t="s">
        <v>31</v>
      </c>
    </row>
  </sheetData>
  <mergeCells count="5">
    <mergeCell ref="A6:K6"/>
    <mergeCell ref="A7:K7"/>
    <mergeCell ref="A8:K8"/>
    <mergeCell ref="A19:K19"/>
    <mergeCell ref="A39:K39"/>
  </mergeCells>
  <pageMargins left="0.49212598425196852" right="0.49212598425196852" top="0.89370078740157477" bottom="0.89370078740157477"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B47E0-712C-4F72-B486-33FAA40F30EA}">
  <dimension ref="A1:V161"/>
  <sheetViews>
    <sheetView topLeftCell="A5" zoomScale="120" zoomScaleNormal="120" workbookViewId="0">
      <selection activeCell="B117" sqref="B117"/>
    </sheetView>
  </sheetViews>
  <sheetFormatPr defaultColWidth="11.42578125" defaultRowHeight="12.75"/>
  <cols>
    <col min="1" max="1" width="11.85546875" bestFit="1" customWidth="1"/>
    <col min="2" max="2" width="35.42578125" customWidth="1"/>
    <col min="3" max="3" width="35.5703125" bestFit="1" customWidth="1"/>
    <col min="4" max="4" width="23.5703125" customWidth="1"/>
    <col min="5" max="5" width="14.140625" bestFit="1" customWidth="1"/>
    <col min="6" max="6" width="22.140625" bestFit="1" customWidth="1"/>
    <col min="7" max="8" width="21.7109375" customWidth="1"/>
    <col min="9" max="9" width="12.42578125" bestFit="1" customWidth="1"/>
    <col min="10" max="10" width="20" bestFit="1" customWidth="1"/>
    <col min="11" max="11" width="9.7109375" bestFit="1" customWidth="1"/>
    <col min="12" max="12" width="8" bestFit="1" customWidth="1"/>
    <col min="13" max="13" width="11.7109375" customWidth="1"/>
    <col min="14" max="14" width="8.85546875" bestFit="1" customWidth="1"/>
    <col min="15" max="15" width="30.140625" bestFit="1" customWidth="1"/>
  </cols>
  <sheetData>
    <row r="1" spans="1:15">
      <c r="D1" s="47" t="s">
        <v>95</v>
      </c>
    </row>
    <row r="2" spans="1:15">
      <c r="D2" s="47" t="s">
        <v>96</v>
      </c>
      <c r="E2" s="22" t="s">
        <v>97</v>
      </c>
    </row>
    <row r="3" spans="1:15" ht="207" customHeight="1">
      <c r="D3" s="69" t="s">
        <v>98</v>
      </c>
      <c r="E3" s="113" t="s">
        <v>99</v>
      </c>
      <c r="F3" s="113"/>
      <c r="G3" s="113"/>
      <c r="H3" s="74"/>
      <c r="I3" s="74"/>
    </row>
    <row r="4" spans="1:15">
      <c r="D4" s="71" t="s">
        <v>100</v>
      </c>
      <c r="E4" s="70"/>
      <c r="F4" s="70"/>
      <c r="G4" s="70"/>
      <c r="H4" s="70"/>
      <c r="I4" s="70"/>
    </row>
    <row r="5" spans="1:15" ht="25.5">
      <c r="D5" s="72" t="s">
        <v>101</v>
      </c>
      <c r="E5" s="70"/>
      <c r="F5" s="70"/>
      <c r="G5" s="70"/>
      <c r="H5" s="70"/>
      <c r="I5" s="70"/>
    </row>
    <row r="6" spans="1:15">
      <c r="D6" s="73" t="s">
        <v>102</v>
      </c>
      <c r="E6" s="70"/>
      <c r="F6" s="70"/>
      <c r="G6" s="70"/>
      <c r="H6" s="70"/>
      <c r="I6" s="70"/>
    </row>
    <row r="11" spans="1:15" ht="15.75">
      <c r="A11" s="53" t="s">
        <v>103</v>
      </c>
      <c r="D11" s="22"/>
      <c r="E11" s="37"/>
    </row>
    <row r="12" spans="1:15">
      <c r="A12" s="47" t="s">
        <v>104</v>
      </c>
    </row>
    <row r="13" spans="1:15" s="52" customFormat="1" ht="28.5" customHeight="1">
      <c r="A13" s="118" t="s">
        <v>8</v>
      </c>
      <c r="B13" s="118" t="s">
        <v>9</v>
      </c>
      <c r="C13" s="118" t="s">
        <v>10</v>
      </c>
      <c r="D13" s="118" t="s">
        <v>11</v>
      </c>
      <c r="E13" s="118" t="s">
        <v>12</v>
      </c>
      <c r="F13" s="50" t="s">
        <v>105</v>
      </c>
      <c r="G13" s="50" t="s">
        <v>106</v>
      </c>
      <c r="H13" s="50" t="s">
        <v>107</v>
      </c>
      <c r="I13" s="50" t="s">
        <v>13</v>
      </c>
      <c r="J13" s="50" t="s">
        <v>14</v>
      </c>
      <c r="K13" s="51" t="s">
        <v>15</v>
      </c>
      <c r="L13" s="51" t="s">
        <v>16</v>
      </c>
      <c r="M13" s="118" t="s">
        <v>17</v>
      </c>
      <c r="N13" s="51" t="s">
        <v>18</v>
      </c>
      <c r="O13" s="50" t="s">
        <v>108</v>
      </c>
    </row>
    <row r="14" spans="1:15">
      <c r="A14" s="100">
        <v>45460</v>
      </c>
      <c r="B14" s="101" t="s">
        <v>39</v>
      </c>
      <c r="C14" s="101" t="s">
        <v>39</v>
      </c>
      <c r="D14" s="102">
        <v>10.67</v>
      </c>
      <c r="E14" s="9">
        <v>10</v>
      </c>
      <c r="F14" s="20"/>
      <c r="G14" s="20"/>
      <c r="H14" s="20"/>
      <c r="I14" s="9">
        <v>7.8</v>
      </c>
      <c r="J14" s="9">
        <v>2.2000000000000002</v>
      </c>
      <c r="K14" s="17">
        <v>8.6199999999999992</v>
      </c>
      <c r="L14" s="17">
        <v>12.82</v>
      </c>
      <c r="M14" s="36" t="s">
        <v>20</v>
      </c>
      <c r="N14" s="17" t="s">
        <v>20</v>
      </c>
      <c r="O14" s="20"/>
    </row>
    <row r="15" spans="1:15">
      <c r="A15" s="100">
        <v>45461</v>
      </c>
      <c r="B15" s="101" t="s">
        <v>40</v>
      </c>
      <c r="C15" s="101" t="s">
        <v>40</v>
      </c>
      <c r="D15" s="102">
        <v>8.9499999999999993</v>
      </c>
      <c r="E15" s="9">
        <v>8.92</v>
      </c>
      <c r="F15" s="20"/>
      <c r="G15" s="20"/>
      <c r="H15" s="20"/>
      <c r="I15" s="9">
        <v>7.8</v>
      </c>
      <c r="J15" s="9">
        <v>1.1200000000000001</v>
      </c>
      <c r="K15" s="17">
        <v>9.73</v>
      </c>
      <c r="L15" s="17">
        <v>13.93</v>
      </c>
      <c r="M15" s="36" t="s">
        <v>20</v>
      </c>
      <c r="N15" s="17" t="s">
        <v>20</v>
      </c>
      <c r="O15" s="20"/>
    </row>
    <row r="16" spans="1:15">
      <c r="A16" s="100">
        <v>45462</v>
      </c>
      <c r="B16" s="101" t="s">
        <v>41</v>
      </c>
      <c r="C16" s="101" t="s">
        <v>41</v>
      </c>
      <c r="D16" s="102">
        <v>3.7</v>
      </c>
      <c r="E16" s="9">
        <v>3.7</v>
      </c>
      <c r="F16" s="119"/>
      <c r="G16" s="119"/>
      <c r="H16" s="119"/>
      <c r="I16" s="9">
        <v>7.8</v>
      </c>
      <c r="J16" s="9">
        <v>-0.2</v>
      </c>
      <c r="K16" s="17">
        <v>9.5299999999999994</v>
      </c>
      <c r="L16" s="17">
        <v>9.83</v>
      </c>
      <c r="M16" s="36" t="s">
        <v>42</v>
      </c>
      <c r="N16" s="17" t="s">
        <v>20</v>
      </c>
      <c r="O16" s="120"/>
    </row>
    <row r="17" spans="1:15">
      <c r="A17" s="100">
        <v>45463</v>
      </c>
      <c r="B17" s="101" t="s">
        <v>43</v>
      </c>
      <c r="C17" s="101" t="s">
        <v>43</v>
      </c>
      <c r="D17" s="102">
        <v>7.95</v>
      </c>
      <c r="E17" s="9">
        <v>7.95</v>
      </c>
      <c r="F17" s="20"/>
      <c r="G17" s="20"/>
      <c r="H17" s="20"/>
      <c r="I17" s="9">
        <v>7.8</v>
      </c>
      <c r="J17" s="9">
        <v>0.15</v>
      </c>
      <c r="K17" s="17">
        <v>9.68</v>
      </c>
      <c r="L17" s="17">
        <v>9.98</v>
      </c>
      <c r="M17" s="36" t="s">
        <v>20</v>
      </c>
      <c r="N17" s="17" t="s">
        <v>20</v>
      </c>
      <c r="O17" s="20"/>
    </row>
    <row r="18" spans="1:15">
      <c r="A18" s="100">
        <v>45464</v>
      </c>
      <c r="B18" s="101" t="s">
        <v>44</v>
      </c>
      <c r="C18" s="101" t="s">
        <v>44</v>
      </c>
      <c r="D18" s="102">
        <v>8.9700000000000006</v>
      </c>
      <c r="E18" s="9">
        <v>8.77</v>
      </c>
      <c r="F18" s="20"/>
      <c r="G18" s="20"/>
      <c r="H18" s="20"/>
      <c r="I18" s="9">
        <v>7.8</v>
      </c>
      <c r="J18" s="9">
        <v>0.97</v>
      </c>
      <c r="K18" s="17">
        <v>10.65</v>
      </c>
      <c r="L18" s="17">
        <v>10.95</v>
      </c>
      <c r="M18" s="36" t="s">
        <v>20</v>
      </c>
      <c r="N18" s="17" t="s">
        <v>20</v>
      </c>
      <c r="O18" s="20"/>
    </row>
    <row r="19" spans="1:15">
      <c r="A19" s="100">
        <v>45465</v>
      </c>
      <c r="B19" s="101" t="s">
        <v>109</v>
      </c>
      <c r="C19" s="101" t="s">
        <v>109</v>
      </c>
      <c r="D19" s="102">
        <v>9.35</v>
      </c>
      <c r="E19" s="9">
        <v>9.35</v>
      </c>
      <c r="F19" s="9"/>
      <c r="G19" s="20"/>
      <c r="H19" s="9"/>
      <c r="I19" s="9">
        <v>0</v>
      </c>
      <c r="J19" s="9"/>
      <c r="K19" s="17"/>
      <c r="L19" s="17"/>
      <c r="M19" s="36" t="s">
        <v>20</v>
      </c>
      <c r="N19" s="17" t="s">
        <v>20</v>
      </c>
      <c r="O19" s="20"/>
    </row>
    <row r="20" spans="1:15">
      <c r="A20" s="100">
        <v>45466</v>
      </c>
      <c r="B20" s="103"/>
      <c r="C20" s="103"/>
      <c r="D20" s="102">
        <v>0</v>
      </c>
      <c r="E20" s="9">
        <v>0</v>
      </c>
      <c r="F20" s="9"/>
      <c r="G20" s="20"/>
      <c r="H20" s="9"/>
      <c r="I20" s="9">
        <v>0</v>
      </c>
      <c r="J20" s="9">
        <v>0</v>
      </c>
      <c r="K20" s="17"/>
      <c r="L20" s="17"/>
      <c r="M20" s="36" t="s">
        <v>20</v>
      </c>
      <c r="N20" s="17" t="s">
        <v>20</v>
      </c>
      <c r="O20" s="20"/>
    </row>
    <row r="21" spans="1:15">
      <c r="A21" s="85" t="s">
        <v>26</v>
      </c>
      <c r="B21" s="85"/>
      <c r="C21" s="85"/>
      <c r="D21" s="104">
        <f>SUM(D14:D20)</f>
        <v>49.589999999999996</v>
      </c>
      <c r="E21" s="104">
        <f>SUM(E14:E20)</f>
        <v>48.690000000000005</v>
      </c>
      <c r="F21" s="19">
        <f>SUM(F14:F20)</f>
        <v>0</v>
      </c>
      <c r="G21" s="19">
        <f>SUM(G14:G20)</f>
        <v>0</v>
      </c>
      <c r="H21" s="19">
        <f>SUM(H14:H20)</f>
        <v>0</v>
      </c>
      <c r="I21" s="13">
        <v>39</v>
      </c>
      <c r="J21" s="13"/>
      <c r="K21" s="18"/>
      <c r="L21" s="18"/>
      <c r="M21" s="85"/>
      <c r="N21" s="18"/>
      <c r="O21" s="85"/>
    </row>
    <row r="22" spans="1:15">
      <c r="D22" s="22"/>
      <c r="E22" s="46"/>
    </row>
    <row r="23" spans="1:15">
      <c r="D23" s="43"/>
      <c r="E23" s="46"/>
    </row>
    <row r="24" spans="1:15">
      <c r="A24" s="47" t="s">
        <v>110</v>
      </c>
    </row>
    <row r="25" spans="1:15" s="52" customFormat="1" ht="66.75" customHeight="1">
      <c r="A25" s="118" t="s">
        <v>8</v>
      </c>
      <c r="B25" s="118" t="s">
        <v>9</v>
      </c>
      <c r="C25" s="118" t="s">
        <v>10</v>
      </c>
      <c r="D25" s="118" t="s">
        <v>11</v>
      </c>
      <c r="E25" s="118" t="s">
        <v>12</v>
      </c>
      <c r="F25" s="50" t="s">
        <v>105</v>
      </c>
      <c r="G25" s="50" t="s">
        <v>106</v>
      </c>
      <c r="H25" s="50" t="s">
        <v>111</v>
      </c>
      <c r="I25" s="50" t="s">
        <v>13</v>
      </c>
      <c r="J25" s="50" t="s">
        <v>14</v>
      </c>
      <c r="K25" s="51" t="s">
        <v>15</v>
      </c>
      <c r="L25" s="51" t="s">
        <v>16</v>
      </c>
      <c r="M25" s="118" t="s">
        <v>17</v>
      </c>
      <c r="N25" s="51" t="s">
        <v>18</v>
      </c>
      <c r="O25" s="50" t="s">
        <v>108</v>
      </c>
    </row>
    <row r="26" spans="1:15">
      <c r="A26" s="100">
        <v>45460</v>
      </c>
      <c r="B26" s="101" t="s">
        <v>39</v>
      </c>
      <c r="C26" s="101" t="s">
        <v>39</v>
      </c>
      <c r="D26" s="102">
        <v>10.67</v>
      </c>
      <c r="E26" s="9">
        <v>10</v>
      </c>
      <c r="F26" s="119">
        <v>10</v>
      </c>
      <c r="G26" s="20"/>
      <c r="H26" s="20"/>
      <c r="I26" s="9">
        <v>7.8</v>
      </c>
      <c r="J26" s="9">
        <v>2.2000000000000002</v>
      </c>
      <c r="K26" s="17">
        <v>8.6199999999999992</v>
      </c>
      <c r="L26" s="17">
        <v>12.82</v>
      </c>
      <c r="M26" s="36" t="s">
        <v>20</v>
      </c>
      <c r="N26" s="17" t="s">
        <v>20</v>
      </c>
      <c r="O26" s="48"/>
    </row>
    <row r="27" spans="1:15">
      <c r="A27" s="100">
        <v>45461</v>
      </c>
      <c r="B27" s="101" t="s">
        <v>40</v>
      </c>
      <c r="C27" s="101" t="s">
        <v>40</v>
      </c>
      <c r="D27" s="102">
        <v>8.9499999999999993</v>
      </c>
      <c r="E27" s="9">
        <v>8.92</v>
      </c>
      <c r="F27" s="20">
        <v>7.8</v>
      </c>
      <c r="G27" s="20"/>
      <c r="H27" s="20"/>
      <c r="I27" s="9">
        <v>7.8</v>
      </c>
      <c r="J27" s="9">
        <v>1.1200000000000001</v>
      </c>
      <c r="K27" s="17">
        <v>9.73</v>
      </c>
      <c r="L27" s="17">
        <v>13.93</v>
      </c>
      <c r="M27" s="36" t="s">
        <v>20</v>
      </c>
      <c r="N27" s="17" t="s">
        <v>20</v>
      </c>
      <c r="O27" s="48"/>
    </row>
    <row r="28" spans="1:15">
      <c r="A28" s="100">
        <v>45462</v>
      </c>
      <c r="B28" s="101" t="s">
        <v>41</v>
      </c>
      <c r="C28" s="101" t="s">
        <v>41</v>
      </c>
      <c r="D28" s="102">
        <v>3.7</v>
      </c>
      <c r="E28" s="9">
        <v>3.7</v>
      </c>
      <c r="F28" s="119">
        <v>7.6</v>
      </c>
      <c r="G28" s="119"/>
      <c r="H28" s="20"/>
      <c r="I28" s="9">
        <v>7.8</v>
      </c>
      <c r="J28" s="9">
        <v>-0.2</v>
      </c>
      <c r="K28" s="17">
        <v>9.5299999999999994</v>
      </c>
      <c r="L28" s="17">
        <v>9.83</v>
      </c>
      <c r="M28" s="36" t="s">
        <v>42</v>
      </c>
      <c r="N28" s="17" t="s">
        <v>20</v>
      </c>
      <c r="O28" s="120" t="s">
        <v>112</v>
      </c>
    </row>
    <row r="29" spans="1:15">
      <c r="A29" s="100">
        <v>45463</v>
      </c>
      <c r="B29" s="101" t="s">
        <v>43</v>
      </c>
      <c r="C29" s="101" t="s">
        <v>43</v>
      </c>
      <c r="D29" s="102">
        <v>7.95</v>
      </c>
      <c r="E29" s="9">
        <v>7.95</v>
      </c>
      <c r="F29" s="20">
        <v>7.8</v>
      </c>
      <c r="G29" s="20"/>
      <c r="H29" s="20"/>
      <c r="I29" s="9">
        <v>7.8</v>
      </c>
      <c r="J29" s="9">
        <v>0.15</v>
      </c>
      <c r="K29" s="17">
        <v>9.68</v>
      </c>
      <c r="L29" s="17">
        <v>9.98</v>
      </c>
      <c r="M29" s="36" t="s">
        <v>20</v>
      </c>
      <c r="N29" s="17" t="s">
        <v>20</v>
      </c>
      <c r="O29" s="48"/>
    </row>
    <row r="30" spans="1:15">
      <c r="A30" s="100">
        <v>45464</v>
      </c>
      <c r="B30" s="101" t="s">
        <v>44</v>
      </c>
      <c r="C30" s="101" t="s">
        <v>44</v>
      </c>
      <c r="D30" s="102">
        <v>8.9700000000000006</v>
      </c>
      <c r="E30" s="9">
        <v>8.77</v>
      </c>
      <c r="F30" s="20">
        <v>7.8</v>
      </c>
      <c r="G30" s="20"/>
      <c r="H30" s="20"/>
      <c r="I30" s="9">
        <v>7.8</v>
      </c>
      <c r="J30" s="9">
        <v>0.97</v>
      </c>
      <c r="K30" s="17">
        <v>10.65</v>
      </c>
      <c r="L30" s="17">
        <v>10.95</v>
      </c>
      <c r="M30" s="36" t="s">
        <v>20</v>
      </c>
      <c r="N30" s="17" t="s">
        <v>20</v>
      </c>
      <c r="O30" s="48"/>
    </row>
    <row r="31" spans="1:15">
      <c r="A31" s="100">
        <v>45465</v>
      </c>
      <c r="B31" s="101" t="s">
        <v>109</v>
      </c>
      <c r="C31" s="101" t="s">
        <v>109</v>
      </c>
      <c r="D31" s="102">
        <v>9.35</v>
      </c>
      <c r="E31" s="9">
        <v>9.35</v>
      </c>
      <c r="F31" s="9">
        <v>0</v>
      </c>
      <c r="G31" s="119">
        <v>8.77</v>
      </c>
      <c r="H31" s="9"/>
      <c r="I31" s="9">
        <v>0</v>
      </c>
      <c r="J31" s="9"/>
      <c r="K31" s="17"/>
      <c r="L31" s="17"/>
      <c r="M31" s="36" t="s">
        <v>20</v>
      </c>
      <c r="N31" s="17" t="s">
        <v>20</v>
      </c>
      <c r="O31" s="48" t="s">
        <v>113</v>
      </c>
    </row>
    <row r="32" spans="1:15">
      <c r="A32" s="100">
        <v>45466</v>
      </c>
      <c r="B32" s="103"/>
      <c r="C32" s="103"/>
      <c r="D32" s="121">
        <v>0</v>
      </c>
      <c r="E32" s="122">
        <v>0</v>
      </c>
      <c r="F32" s="9">
        <v>0</v>
      </c>
      <c r="G32" s="20"/>
      <c r="H32" s="9"/>
      <c r="I32" s="9">
        <v>0</v>
      </c>
      <c r="J32" s="9">
        <v>0</v>
      </c>
      <c r="K32" s="17"/>
      <c r="L32" s="17"/>
      <c r="M32" s="36" t="s">
        <v>20</v>
      </c>
      <c r="N32" s="17" t="s">
        <v>20</v>
      </c>
      <c r="O32" s="48"/>
    </row>
    <row r="33" spans="1:15">
      <c r="A33" s="85" t="s">
        <v>26</v>
      </c>
      <c r="B33" s="85"/>
      <c r="C33" s="123"/>
      <c r="D33" s="124">
        <f>SUM(D26:D32)</f>
        <v>49.589999999999996</v>
      </c>
      <c r="E33" s="124">
        <f>SUM(E26:E32)</f>
        <v>48.690000000000005</v>
      </c>
      <c r="F33" s="58">
        <f>SUM(F26:F32)</f>
        <v>40.999999999999993</v>
      </c>
      <c r="G33" s="19">
        <f>SUM(G26:G32)</f>
        <v>8.77</v>
      </c>
      <c r="H33" s="19"/>
      <c r="I33" s="13">
        <v>39</v>
      </c>
      <c r="J33" s="19">
        <f>SUM(J26:J32)</f>
        <v>4.24</v>
      </c>
      <c r="K33" s="18"/>
      <c r="L33" s="18"/>
      <c r="M33" s="85"/>
      <c r="N33" s="18"/>
      <c r="O33" s="85"/>
    </row>
    <row r="34" spans="1:15">
      <c r="C34" s="22"/>
      <c r="D34" s="22"/>
      <c r="E34" s="46"/>
    </row>
    <row r="35" spans="1:15">
      <c r="B35" s="47" t="s">
        <v>114</v>
      </c>
      <c r="C35" s="22"/>
      <c r="D35" s="22"/>
      <c r="E35" s="46"/>
      <c r="G35" s="22"/>
      <c r="H35" s="22"/>
    </row>
    <row r="36" spans="1:15">
      <c r="B36" s="47"/>
      <c r="C36" s="112" t="s">
        <v>115</v>
      </c>
      <c r="D36" s="112"/>
      <c r="E36" s="112" t="s">
        <v>116</v>
      </c>
      <c r="F36" s="112"/>
      <c r="G36" s="22"/>
      <c r="H36" s="22"/>
      <c r="I36" s="46"/>
    </row>
    <row r="37" spans="1:15" ht="90">
      <c r="B37" s="90" t="s">
        <v>117</v>
      </c>
      <c r="C37" s="39" t="s">
        <v>118</v>
      </c>
      <c r="D37" s="40"/>
      <c r="E37" s="39" t="s">
        <v>118</v>
      </c>
      <c r="F37" s="40"/>
      <c r="H37" s="46"/>
    </row>
    <row r="38" spans="1:15" ht="75">
      <c r="A38" s="55"/>
      <c r="B38" s="49" t="s">
        <v>119</v>
      </c>
      <c r="C38" s="125">
        <f>F33+G33-I33</f>
        <v>10.769999999999996</v>
      </c>
      <c r="D38" s="93" t="s">
        <v>120</v>
      </c>
      <c r="E38" s="125">
        <f>F33-I33</f>
        <v>1.9999999999999929</v>
      </c>
      <c r="F38" s="93" t="s">
        <v>121</v>
      </c>
      <c r="H38" s="46"/>
    </row>
    <row r="39" spans="1:15" ht="45">
      <c r="A39" s="55"/>
      <c r="B39" s="49" t="s">
        <v>122</v>
      </c>
      <c r="C39" s="126"/>
      <c r="D39" s="93"/>
      <c r="E39" s="127">
        <f>G33</f>
        <v>8.77</v>
      </c>
      <c r="F39" s="93" t="s">
        <v>123</v>
      </c>
      <c r="H39" s="46"/>
    </row>
    <row r="40" spans="1:15" ht="135">
      <c r="B40" s="90" t="s">
        <v>124</v>
      </c>
      <c r="C40" s="65" t="str">
        <f>IF(H33="","",IF(F33&gt;I33,"",F33-H33))</f>
        <v/>
      </c>
      <c r="D40" s="90" t="s">
        <v>125</v>
      </c>
      <c r="E40" s="65" t="str">
        <f>IF(H33="","",IF(F33&gt;I33,"",F33-H33))</f>
        <v/>
      </c>
      <c r="F40" s="90" t="s">
        <v>125</v>
      </c>
      <c r="H40" s="46"/>
    </row>
    <row r="41" spans="1:15" ht="101.25" customHeight="1">
      <c r="B41" s="90" t="s">
        <v>126</v>
      </c>
      <c r="C41" s="66">
        <f>IF(H33="",IF(C38&gt;8,8,C38),"")</f>
        <v>8</v>
      </c>
      <c r="D41" s="90" t="s">
        <v>127</v>
      </c>
      <c r="E41" s="66" t="str">
        <f>IF(J33="",IF(E38&gt;8,8,E38),"")</f>
        <v/>
      </c>
      <c r="F41" s="90" t="s">
        <v>127</v>
      </c>
    </row>
    <row r="42" spans="1:15" ht="15">
      <c r="B42" s="90" t="s">
        <v>128</v>
      </c>
      <c r="C42" s="67">
        <f>IF(C38&gt;8,C38-C41,0)</f>
        <v>2.769999999999996</v>
      </c>
      <c r="D42" s="128" t="s">
        <v>129</v>
      </c>
      <c r="E42" s="67">
        <f>IF(E38&gt;8,E38-E41,0)</f>
        <v>0</v>
      </c>
      <c r="F42" s="128" t="s">
        <v>129</v>
      </c>
    </row>
    <row r="43" spans="1:15" ht="15">
      <c r="B43" s="90" t="s">
        <v>130</v>
      </c>
      <c r="C43" s="56"/>
      <c r="D43" s="90"/>
      <c r="E43" s="68">
        <f>E39</f>
        <v>8.77</v>
      </c>
      <c r="F43" s="129" t="s">
        <v>131</v>
      </c>
    </row>
    <row r="44" spans="1:15" ht="15">
      <c r="B44" s="130"/>
      <c r="D44" s="130"/>
      <c r="E44" s="131"/>
      <c r="F44" s="131"/>
    </row>
    <row r="45" spans="1:15">
      <c r="A45" s="47" t="s">
        <v>132</v>
      </c>
      <c r="C45" s="22"/>
      <c r="D45" s="22"/>
      <c r="E45" s="46"/>
    </row>
    <row r="46" spans="1:15" ht="40.5" customHeight="1">
      <c r="A46" s="99" t="s">
        <v>8</v>
      </c>
      <c r="B46" s="99" t="s">
        <v>9</v>
      </c>
      <c r="C46" s="99" t="s">
        <v>10</v>
      </c>
      <c r="D46" s="99" t="s">
        <v>11</v>
      </c>
      <c r="E46" s="99" t="s">
        <v>12</v>
      </c>
      <c r="F46" s="50" t="s">
        <v>105</v>
      </c>
      <c r="G46" s="50" t="s">
        <v>106</v>
      </c>
      <c r="H46" s="50" t="s">
        <v>111</v>
      </c>
      <c r="I46" s="99" t="s">
        <v>13</v>
      </c>
      <c r="J46" s="50" t="s">
        <v>14</v>
      </c>
      <c r="K46" s="51" t="s">
        <v>15</v>
      </c>
      <c r="L46" s="51" t="s">
        <v>16</v>
      </c>
      <c r="M46" s="118" t="s">
        <v>17</v>
      </c>
      <c r="N46" s="51" t="s">
        <v>18</v>
      </c>
      <c r="O46" s="50" t="s">
        <v>108</v>
      </c>
    </row>
    <row r="47" spans="1:15">
      <c r="A47" s="100">
        <v>45432</v>
      </c>
      <c r="B47" s="103"/>
      <c r="C47" s="103"/>
      <c r="D47" s="102">
        <v>0</v>
      </c>
      <c r="E47" s="102">
        <v>0</v>
      </c>
      <c r="F47" s="119"/>
      <c r="G47" s="20"/>
      <c r="H47" s="20"/>
      <c r="I47" s="102">
        <v>7.8</v>
      </c>
      <c r="J47" s="9"/>
      <c r="K47" s="17">
        <v>4.2300000000000004</v>
      </c>
      <c r="L47" s="17">
        <v>16.23</v>
      </c>
      <c r="M47" s="36" t="s">
        <v>54</v>
      </c>
      <c r="N47" s="17" t="s">
        <v>20</v>
      </c>
      <c r="O47" s="48"/>
    </row>
    <row r="48" spans="1:15">
      <c r="A48" s="100">
        <v>45433</v>
      </c>
      <c r="B48" s="101" t="s">
        <v>67</v>
      </c>
      <c r="C48" s="101" t="s">
        <v>67</v>
      </c>
      <c r="D48" s="102">
        <v>7.3</v>
      </c>
      <c r="E48" s="102">
        <v>7.3</v>
      </c>
      <c r="F48" s="20">
        <v>7.3</v>
      </c>
      <c r="G48" s="20"/>
      <c r="H48" s="20">
        <v>7.8</v>
      </c>
      <c r="I48" s="102">
        <v>7.8</v>
      </c>
      <c r="J48" s="9"/>
      <c r="K48" s="17">
        <v>3.73</v>
      </c>
      <c r="L48" s="17">
        <v>15.73</v>
      </c>
      <c r="M48" s="36" t="s">
        <v>20</v>
      </c>
      <c r="N48" s="17" t="s">
        <v>20</v>
      </c>
      <c r="O48" s="48"/>
    </row>
    <row r="49" spans="1:15">
      <c r="A49" s="100">
        <v>45434</v>
      </c>
      <c r="B49" s="101" t="s">
        <v>68</v>
      </c>
      <c r="C49" s="101" t="s">
        <v>68</v>
      </c>
      <c r="D49" s="102">
        <v>8.6999999999999993</v>
      </c>
      <c r="E49" s="102">
        <v>8.6999999999999993</v>
      </c>
      <c r="F49" s="119">
        <v>8.6999999999999993</v>
      </c>
      <c r="G49" s="119"/>
      <c r="H49" s="20">
        <v>7.8</v>
      </c>
      <c r="I49" s="102">
        <v>7.8</v>
      </c>
      <c r="J49" s="9"/>
      <c r="K49" s="17">
        <v>4.63</v>
      </c>
      <c r="L49" s="17">
        <v>16.63</v>
      </c>
      <c r="M49" s="36" t="s">
        <v>20</v>
      </c>
      <c r="N49" s="17" t="s">
        <v>20</v>
      </c>
      <c r="O49" s="120"/>
    </row>
    <row r="50" spans="1:15">
      <c r="A50" s="100">
        <v>45435</v>
      </c>
      <c r="B50" s="101" t="s">
        <v>69</v>
      </c>
      <c r="C50" s="101" t="s">
        <v>69</v>
      </c>
      <c r="D50" s="102">
        <v>9.15</v>
      </c>
      <c r="E50" s="102">
        <v>9.15</v>
      </c>
      <c r="F50" s="20">
        <v>9.15</v>
      </c>
      <c r="G50" s="20"/>
      <c r="H50" s="20">
        <v>7.8</v>
      </c>
      <c r="I50" s="102">
        <v>7.8</v>
      </c>
      <c r="J50" s="9"/>
      <c r="K50" s="17">
        <v>5.98</v>
      </c>
      <c r="L50" s="17">
        <v>17.98</v>
      </c>
      <c r="M50" s="36" t="s">
        <v>20</v>
      </c>
      <c r="N50" s="17" t="s">
        <v>20</v>
      </c>
      <c r="O50" s="48"/>
    </row>
    <row r="51" spans="1:15">
      <c r="A51" s="100">
        <v>45436</v>
      </c>
      <c r="B51" s="101" t="s">
        <v>70</v>
      </c>
      <c r="C51" s="101" t="s">
        <v>70</v>
      </c>
      <c r="D51" s="102">
        <v>7.78</v>
      </c>
      <c r="E51" s="102">
        <v>7.78</v>
      </c>
      <c r="F51" s="20">
        <v>7.78</v>
      </c>
      <c r="G51" s="20"/>
      <c r="H51" s="20">
        <v>7.8</v>
      </c>
      <c r="I51" s="102">
        <v>7.8</v>
      </c>
      <c r="J51" s="9"/>
      <c r="K51" s="17">
        <v>5.97</v>
      </c>
      <c r="L51" s="17">
        <v>17.97</v>
      </c>
      <c r="M51" s="36" t="s">
        <v>20</v>
      </c>
      <c r="N51" s="17" t="s">
        <v>20</v>
      </c>
      <c r="O51" s="48"/>
    </row>
    <row r="52" spans="1:15">
      <c r="A52" s="100">
        <v>45437</v>
      </c>
      <c r="B52" s="103"/>
      <c r="C52" s="103"/>
      <c r="D52" s="102">
        <v>0</v>
      </c>
      <c r="E52" s="102">
        <v>0</v>
      </c>
      <c r="F52" s="9"/>
      <c r="G52" s="119"/>
      <c r="H52" s="9"/>
      <c r="I52" s="102">
        <v>0</v>
      </c>
      <c r="J52" s="9"/>
      <c r="K52" s="17">
        <v>5.97</v>
      </c>
      <c r="L52" s="17">
        <v>17.97</v>
      </c>
      <c r="M52" s="36" t="s">
        <v>20</v>
      </c>
      <c r="N52" s="17" t="s">
        <v>20</v>
      </c>
      <c r="O52" s="48"/>
    </row>
    <row r="53" spans="1:15">
      <c r="A53" s="100">
        <v>45438</v>
      </c>
      <c r="B53" s="103"/>
      <c r="C53" s="103"/>
      <c r="D53" s="102">
        <v>0</v>
      </c>
      <c r="E53" s="102">
        <v>0</v>
      </c>
      <c r="F53" s="9"/>
      <c r="G53" s="20"/>
      <c r="H53" s="9"/>
      <c r="I53" s="102">
        <v>0</v>
      </c>
      <c r="J53" s="9"/>
      <c r="K53" s="17">
        <v>5.97</v>
      </c>
      <c r="L53" s="17">
        <v>17.97</v>
      </c>
      <c r="M53" s="36" t="s">
        <v>20</v>
      </c>
      <c r="N53" s="17" t="s">
        <v>20</v>
      </c>
      <c r="O53" s="48"/>
    </row>
    <row r="54" spans="1:15">
      <c r="A54" s="85" t="s">
        <v>26</v>
      </c>
      <c r="B54" s="85"/>
      <c r="C54" s="85"/>
      <c r="D54" s="104">
        <v>32.93</v>
      </c>
      <c r="E54" s="104">
        <v>32.93</v>
      </c>
      <c r="F54" s="19">
        <f>SUM(F47:F53)</f>
        <v>32.93</v>
      </c>
      <c r="G54" s="19">
        <f>SUM(G47:G53)</f>
        <v>0</v>
      </c>
      <c r="H54" s="19">
        <f>SUM(H47:H53)</f>
        <v>31.2</v>
      </c>
      <c r="I54" s="104">
        <v>39</v>
      </c>
      <c r="J54" s="13"/>
      <c r="K54" s="18"/>
      <c r="L54" s="18"/>
      <c r="M54" s="85"/>
      <c r="N54" s="18"/>
      <c r="O54" s="85"/>
    </row>
    <row r="55" spans="1:15">
      <c r="C55" s="22"/>
      <c r="D55" s="22"/>
      <c r="E55" s="46"/>
    </row>
    <row r="56" spans="1:15">
      <c r="C56" s="22"/>
      <c r="D56" s="22"/>
      <c r="E56" s="46"/>
    </row>
    <row r="57" spans="1:15">
      <c r="B57" s="47" t="s">
        <v>114</v>
      </c>
      <c r="C57" s="22"/>
      <c r="D57" s="22"/>
      <c r="E57" s="46"/>
      <c r="G57" s="22"/>
      <c r="H57" s="22"/>
    </row>
    <row r="58" spans="1:15">
      <c r="B58" s="47"/>
      <c r="C58" s="112" t="s">
        <v>115</v>
      </c>
      <c r="D58" s="112"/>
      <c r="E58" s="112" t="s">
        <v>116</v>
      </c>
      <c r="F58" s="112"/>
      <c r="G58" s="22"/>
      <c r="H58" s="22"/>
      <c r="I58" s="46"/>
    </row>
    <row r="59" spans="1:15" ht="90">
      <c r="B59" s="38" t="s">
        <v>133</v>
      </c>
      <c r="C59" s="39" t="s">
        <v>118</v>
      </c>
      <c r="D59" s="40"/>
      <c r="E59" s="39" t="s">
        <v>118</v>
      </c>
      <c r="F59" s="40"/>
      <c r="H59" s="46"/>
    </row>
    <row r="60" spans="1:15" ht="75">
      <c r="A60" s="55"/>
      <c r="B60" s="49" t="s">
        <v>119</v>
      </c>
      <c r="C60" s="125">
        <f>F54+G54-H54</f>
        <v>1.7300000000000004</v>
      </c>
      <c r="D60" s="93" t="s">
        <v>120</v>
      </c>
      <c r="E60" s="125">
        <f>F54-H54</f>
        <v>1.7300000000000004</v>
      </c>
      <c r="F60" s="93" t="s">
        <v>121</v>
      </c>
      <c r="H60" s="46"/>
    </row>
    <row r="61" spans="1:15" ht="45">
      <c r="A61" s="55"/>
      <c r="B61" s="49" t="s">
        <v>122</v>
      </c>
      <c r="C61" s="126"/>
      <c r="D61" s="93"/>
      <c r="E61" s="127">
        <f>G54</f>
        <v>0</v>
      </c>
      <c r="F61" s="93" t="s">
        <v>123</v>
      </c>
      <c r="H61" s="46"/>
    </row>
    <row r="62" spans="1:15" ht="135">
      <c r="B62" s="90" t="s">
        <v>134</v>
      </c>
      <c r="C62" s="65">
        <f>IF(H54="","",IF(F54&gt;I54,"",F54-H54))</f>
        <v>1.7300000000000004</v>
      </c>
      <c r="D62" s="90" t="s">
        <v>125</v>
      </c>
      <c r="E62" s="65">
        <f>IF(H54="","",IF(F54&gt;I54,"",F54-H54))</f>
        <v>1.7300000000000004</v>
      </c>
      <c r="F62" s="90" t="s">
        <v>125</v>
      </c>
      <c r="H62" s="46"/>
    </row>
    <row r="63" spans="1:15" ht="122.25" customHeight="1">
      <c r="B63" s="90" t="s">
        <v>126</v>
      </c>
      <c r="C63" s="66" t="str">
        <f>IF(H54="",IF(C60&gt;8,8,C60),"")</f>
        <v/>
      </c>
      <c r="D63" s="90" t="s">
        <v>135</v>
      </c>
      <c r="E63" s="66" t="str">
        <f>IF(H54="",IF(C60&gt;8,8,C60),"")</f>
        <v/>
      </c>
      <c r="F63" s="90" t="s">
        <v>136</v>
      </c>
      <c r="G63" s="77" t="s">
        <v>137</v>
      </c>
    </row>
    <row r="64" spans="1:15" ht="15">
      <c r="B64" s="90" t="s">
        <v>128</v>
      </c>
      <c r="C64" s="67">
        <f>IF(C60&gt;8,C60-C63,0)</f>
        <v>0</v>
      </c>
      <c r="D64" s="128" t="s">
        <v>129</v>
      </c>
      <c r="E64" s="67">
        <f>IF(E60&gt;8,E60-E63,0)</f>
        <v>0</v>
      </c>
      <c r="F64" s="128" t="s">
        <v>129</v>
      </c>
    </row>
    <row r="65" spans="1:15" ht="15">
      <c r="B65" s="90" t="s">
        <v>130</v>
      </c>
      <c r="C65" s="56"/>
      <c r="D65" s="90"/>
      <c r="E65" s="68">
        <f>E61</f>
        <v>0</v>
      </c>
      <c r="F65" s="129" t="s">
        <v>131</v>
      </c>
    </row>
    <row r="68" spans="1:15" ht="15.75">
      <c r="A68" s="53" t="s">
        <v>138</v>
      </c>
      <c r="B68" s="130"/>
      <c r="D68" s="130"/>
      <c r="E68" s="37"/>
      <c r="F68" s="131"/>
    </row>
    <row r="69" spans="1:15" ht="15">
      <c r="A69" s="47" t="s">
        <v>104</v>
      </c>
      <c r="B69" s="130"/>
      <c r="D69" s="130"/>
      <c r="E69" s="37"/>
      <c r="F69" s="131"/>
    </row>
    <row r="70" spans="1:15" ht="24">
      <c r="A70" s="99" t="s">
        <v>8</v>
      </c>
      <c r="B70" s="99" t="s">
        <v>9</v>
      </c>
      <c r="C70" s="99" t="s">
        <v>10</v>
      </c>
      <c r="D70" s="99" t="s">
        <v>11</v>
      </c>
      <c r="E70" s="99" t="s">
        <v>12</v>
      </c>
      <c r="F70" s="50" t="s">
        <v>105</v>
      </c>
      <c r="G70" s="50" t="s">
        <v>106</v>
      </c>
      <c r="H70" s="50" t="s">
        <v>111</v>
      </c>
      <c r="I70" s="99" t="s">
        <v>13</v>
      </c>
      <c r="J70" s="51" t="s">
        <v>14</v>
      </c>
      <c r="K70" s="51" t="s">
        <v>15</v>
      </c>
      <c r="L70" s="51" t="s">
        <v>16</v>
      </c>
      <c r="M70" s="118" t="s">
        <v>17</v>
      </c>
      <c r="N70" s="51" t="s">
        <v>18</v>
      </c>
      <c r="O70" s="50" t="s">
        <v>108</v>
      </c>
    </row>
    <row r="71" spans="1:15">
      <c r="A71" s="100">
        <v>45432</v>
      </c>
      <c r="B71" s="103"/>
      <c r="C71" s="103"/>
      <c r="D71" s="102">
        <v>0</v>
      </c>
      <c r="E71" s="102">
        <v>0</v>
      </c>
      <c r="F71" s="119"/>
      <c r="G71" s="20"/>
      <c r="H71" s="20"/>
      <c r="I71" s="102">
        <v>0</v>
      </c>
      <c r="J71" s="17">
        <v>0</v>
      </c>
      <c r="K71" s="17">
        <v>4.2300000000000004</v>
      </c>
      <c r="L71" s="17">
        <v>16.23</v>
      </c>
      <c r="M71" s="36"/>
      <c r="N71" s="17" t="s">
        <v>20</v>
      </c>
      <c r="O71" s="48"/>
    </row>
    <row r="72" spans="1:15">
      <c r="A72" s="100">
        <v>45433</v>
      </c>
      <c r="B72" s="101" t="s">
        <v>67</v>
      </c>
      <c r="C72" s="101" t="s">
        <v>67</v>
      </c>
      <c r="D72" s="102">
        <v>7.3</v>
      </c>
      <c r="E72" s="102">
        <v>7.3</v>
      </c>
      <c r="F72" s="20"/>
      <c r="G72" s="20"/>
      <c r="H72" s="20"/>
      <c r="I72" s="102">
        <v>7.8</v>
      </c>
      <c r="J72" s="17">
        <v>-0.5</v>
      </c>
      <c r="K72" s="17">
        <v>3.73</v>
      </c>
      <c r="L72" s="17">
        <v>15.73</v>
      </c>
      <c r="M72" s="36" t="s">
        <v>20</v>
      </c>
      <c r="N72" s="17" t="s">
        <v>20</v>
      </c>
      <c r="O72" s="48"/>
    </row>
    <row r="73" spans="1:15">
      <c r="A73" s="100">
        <v>45434</v>
      </c>
      <c r="B73" s="101" t="s">
        <v>68</v>
      </c>
      <c r="C73" s="101" t="s">
        <v>68</v>
      </c>
      <c r="D73" s="102">
        <v>8.6999999999999993</v>
      </c>
      <c r="E73" s="102">
        <v>8.6999999999999993</v>
      </c>
      <c r="F73" s="119"/>
      <c r="G73" s="119"/>
      <c r="H73" s="20"/>
      <c r="I73" s="102">
        <v>7.8</v>
      </c>
      <c r="J73" s="17">
        <v>0.9</v>
      </c>
      <c r="K73" s="17">
        <v>4.63</v>
      </c>
      <c r="L73" s="17">
        <v>16.63</v>
      </c>
      <c r="M73" s="36" t="s">
        <v>20</v>
      </c>
      <c r="N73" s="17" t="s">
        <v>20</v>
      </c>
      <c r="O73" s="120"/>
    </row>
    <row r="74" spans="1:15">
      <c r="A74" s="100">
        <v>45435</v>
      </c>
      <c r="B74" s="101" t="s">
        <v>69</v>
      </c>
      <c r="C74" s="101" t="s">
        <v>69</v>
      </c>
      <c r="D74" s="102">
        <v>9.15</v>
      </c>
      <c r="E74" s="102">
        <v>9.15</v>
      </c>
      <c r="F74" s="20"/>
      <c r="G74" s="20"/>
      <c r="H74" s="20"/>
      <c r="I74" s="102">
        <v>7.8</v>
      </c>
      <c r="J74" s="17">
        <v>1.35</v>
      </c>
      <c r="K74" s="17">
        <v>5.98</v>
      </c>
      <c r="L74" s="17">
        <v>17.98</v>
      </c>
      <c r="M74" s="36" t="s">
        <v>20</v>
      </c>
      <c r="N74" s="17" t="s">
        <v>20</v>
      </c>
      <c r="O74" s="48"/>
    </row>
    <row r="75" spans="1:15">
      <c r="A75" s="100">
        <v>45436</v>
      </c>
      <c r="B75" s="101" t="s">
        <v>70</v>
      </c>
      <c r="C75" s="101" t="s">
        <v>70</v>
      </c>
      <c r="D75" s="102">
        <v>7.78</v>
      </c>
      <c r="E75" s="102">
        <v>7.78</v>
      </c>
      <c r="F75" s="20"/>
      <c r="G75" s="20"/>
      <c r="H75" s="20"/>
      <c r="I75" s="102">
        <v>7.8</v>
      </c>
      <c r="J75" s="17">
        <v>-0.02</v>
      </c>
      <c r="K75" s="17">
        <v>5.97</v>
      </c>
      <c r="L75" s="17">
        <v>17.97</v>
      </c>
      <c r="M75" s="36" t="s">
        <v>20</v>
      </c>
      <c r="N75" s="17" t="s">
        <v>20</v>
      </c>
      <c r="O75" s="48"/>
    </row>
    <row r="76" spans="1:15">
      <c r="A76" s="100">
        <v>45437</v>
      </c>
      <c r="B76" s="103"/>
      <c r="C76" s="103"/>
      <c r="D76" s="102">
        <v>0</v>
      </c>
      <c r="E76" s="102">
        <v>0</v>
      </c>
      <c r="F76" s="9"/>
      <c r="G76" s="119"/>
      <c r="H76" s="9"/>
      <c r="I76" s="102">
        <v>0</v>
      </c>
      <c r="J76" s="17">
        <v>0</v>
      </c>
      <c r="K76" s="17">
        <v>5.97</v>
      </c>
      <c r="L76" s="17">
        <v>17.97</v>
      </c>
      <c r="M76" s="36" t="s">
        <v>20</v>
      </c>
      <c r="N76" s="17" t="s">
        <v>20</v>
      </c>
      <c r="O76" s="48"/>
    </row>
    <row r="77" spans="1:15">
      <c r="A77" s="100">
        <v>45438</v>
      </c>
      <c r="B77" s="103"/>
      <c r="C77" s="103"/>
      <c r="D77" s="102">
        <v>0</v>
      </c>
      <c r="E77" s="102">
        <v>0</v>
      </c>
      <c r="F77" s="9"/>
      <c r="G77" s="20"/>
      <c r="H77" s="9"/>
      <c r="I77" s="102">
        <v>0</v>
      </c>
      <c r="J77" s="17">
        <v>0</v>
      </c>
      <c r="K77" s="17">
        <v>5.97</v>
      </c>
      <c r="L77" s="17">
        <v>17.97</v>
      </c>
      <c r="M77" s="36" t="s">
        <v>20</v>
      </c>
      <c r="N77" s="17" t="s">
        <v>20</v>
      </c>
      <c r="O77" s="48"/>
    </row>
    <row r="78" spans="1:15">
      <c r="A78" s="85" t="s">
        <v>26</v>
      </c>
      <c r="B78" s="85"/>
      <c r="C78" s="85"/>
      <c r="D78" s="104">
        <v>32.93</v>
      </c>
      <c r="E78" s="104">
        <v>32.93</v>
      </c>
      <c r="F78" s="19">
        <f>SUM(F71:F77)</f>
        <v>0</v>
      </c>
      <c r="G78" s="19">
        <f>SUM(G71:G77)</f>
        <v>0</v>
      </c>
      <c r="H78" s="19">
        <f>SUM(H71:H77)</f>
        <v>0</v>
      </c>
      <c r="I78" s="104">
        <f>SUM(I71:I77)</f>
        <v>31.2</v>
      </c>
      <c r="J78" s="18"/>
      <c r="K78" s="18"/>
      <c r="L78" s="18"/>
      <c r="M78" s="85"/>
      <c r="N78" s="18"/>
      <c r="O78" s="85"/>
    </row>
    <row r="79" spans="1:15">
      <c r="A79" s="47"/>
      <c r="C79" s="22"/>
      <c r="D79" s="22"/>
      <c r="E79" s="46"/>
    </row>
    <row r="80" spans="1:15">
      <c r="A80" s="47" t="s">
        <v>139</v>
      </c>
      <c r="C80" s="22"/>
      <c r="D80" s="22"/>
      <c r="E80" s="46"/>
    </row>
    <row r="81" spans="1:15" ht="24">
      <c r="A81" s="99" t="s">
        <v>8</v>
      </c>
      <c r="B81" s="99" t="s">
        <v>9</v>
      </c>
      <c r="C81" s="99" t="s">
        <v>10</v>
      </c>
      <c r="D81" s="99" t="s">
        <v>11</v>
      </c>
      <c r="E81" s="99" t="s">
        <v>12</v>
      </c>
      <c r="F81" s="50" t="s">
        <v>105</v>
      </c>
      <c r="G81" s="50" t="s">
        <v>106</v>
      </c>
      <c r="H81" s="50" t="s">
        <v>111</v>
      </c>
      <c r="I81" s="99" t="s">
        <v>13</v>
      </c>
      <c r="J81" s="51" t="s">
        <v>14</v>
      </c>
      <c r="K81" s="51" t="s">
        <v>15</v>
      </c>
      <c r="L81" s="51" t="s">
        <v>16</v>
      </c>
      <c r="M81" s="118" t="s">
        <v>17</v>
      </c>
      <c r="N81" s="51" t="s">
        <v>18</v>
      </c>
      <c r="O81" s="50" t="s">
        <v>108</v>
      </c>
    </row>
    <row r="82" spans="1:15">
      <c r="A82" s="100">
        <v>45432</v>
      </c>
      <c r="B82" s="103"/>
      <c r="C82" s="103"/>
      <c r="D82" s="102">
        <v>0</v>
      </c>
      <c r="E82" s="102">
        <v>0</v>
      </c>
      <c r="F82" s="119"/>
      <c r="G82" s="20"/>
      <c r="H82" s="20"/>
      <c r="I82" s="102">
        <v>0</v>
      </c>
      <c r="J82" s="17">
        <v>0</v>
      </c>
      <c r="K82" s="17">
        <v>4.2300000000000004</v>
      </c>
      <c r="L82" s="17">
        <v>16.23</v>
      </c>
      <c r="M82" s="36" t="s">
        <v>54</v>
      </c>
      <c r="N82" s="17" t="s">
        <v>20</v>
      </c>
      <c r="O82" s="48" t="s">
        <v>140</v>
      </c>
    </row>
    <row r="83" spans="1:15">
      <c r="A83" s="100">
        <v>45433</v>
      </c>
      <c r="B83" s="101" t="s">
        <v>67</v>
      </c>
      <c r="C83" s="101" t="s">
        <v>67</v>
      </c>
      <c r="D83" s="102">
        <v>7.3</v>
      </c>
      <c r="E83" s="102">
        <v>7.3</v>
      </c>
      <c r="F83" s="20">
        <v>7.3</v>
      </c>
      <c r="G83" s="20"/>
      <c r="H83" s="20"/>
      <c r="I83" s="102">
        <v>7</v>
      </c>
      <c r="J83" s="17">
        <v>-0.5</v>
      </c>
      <c r="K83" s="17">
        <v>3.73</v>
      </c>
      <c r="L83" s="17">
        <v>15.73</v>
      </c>
      <c r="M83" s="36" t="s">
        <v>20</v>
      </c>
      <c r="N83" s="17" t="s">
        <v>20</v>
      </c>
      <c r="O83" s="48"/>
    </row>
    <row r="84" spans="1:15">
      <c r="A84" s="100">
        <v>45434</v>
      </c>
      <c r="B84" s="101" t="s">
        <v>68</v>
      </c>
      <c r="C84" s="101" t="s">
        <v>68</v>
      </c>
      <c r="D84" s="102">
        <v>8.6999999999999993</v>
      </c>
      <c r="E84" s="102">
        <v>8.6999999999999993</v>
      </c>
      <c r="F84" s="119">
        <v>8.6999999999999993</v>
      </c>
      <c r="G84" s="119"/>
      <c r="H84" s="20"/>
      <c r="I84" s="102">
        <v>7</v>
      </c>
      <c r="J84" s="17">
        <v>0.9</v>
      </c>
      <c r="K84" s="17">
        <v>4.63</v>
      </c>
      <c r="L84" s="17">
        <v>16.63</v>
      </c>
      <c r="M84" s="36" t="s">
        <v>20</v>
      </c>
      <c r="N84" s="17" t="s">
        <v>20</v>
      </c>
      <c r="O84" s="120"/>
    </row>
    <row r="85" spans="1:15">
      <c r="A85" s="100">
        <v>45435</v>
      </c>
      <c r="B85" s="101" t="s">
        <v>69</v>
      </c>
      <c r="C85" s="101" t="s">
        <v>69</v>
      </c>
      <c r="D85" s="102">
        <v>9.15</v>
      </c>
      <c r="E85" s="102">
        <v>9.15</v>
      </c>
      <c r="F85" s="20">
        <v>9.15</v>
      </c>
      <c r="G85" s="20"/>
      <c r="H85" s="20"/>
      <c r="I85" s="102">
        <v>7</v>
      </c>
      <c r="J85" s="17">
        <v>1.35</v>
      </c>
      <c r="K85" s="17">
        <v>5.98</v>
      </c>
      <c r="L85" s="17">
        <v>17.98</v>
      </c>
      <c r="M85" s="36" t="s">
        <v>20</v>
      </c>
      <c r="N85" s="17" t="s">
        <v>20</v>
      </c>
      <c r="O85" s="48"/>
    </row>
    <row r="86" spans="1:15">
      <c r="A86" s="100">
        <v>45436</v>
      </c>
      <c r="B86" s="101" t="s">
        <v>70</v>
      </c>
      <c r="C86" s="101" t="s">
        <v>70</v>
      </c>
      <c r="D86" s="102">
        <v>7.78</v>
      </c>
      <c r="E86" s="102">
        <v>7.78</v>
      </c>
      <c r="F86" s="20">
        <v>7.78</v>
      </c>
      <c r="G86" s="20"/>
      <c r="H86" s="20"/>
      <c r="I86" s="102">
        <v>7</v>
      </c>
      <c r="J86" s="17">
        <v>-0.02</v>
      </c>
      <c r="K86" s="17">
        <v>5.97</v>
      </c>
      <c r="L86" s="17">
        <v>17.97</v>
      </c>
      <c r="M86" s="36" t="s">
        <v>20</v>
      </c>
      <c r="N86" s="17" t="s">
        <v>20</v>
      </c>
      <c r="O86" s="48"/>
    </row>
    <row r="87" spans="1:15">
      <c r="A87" s="100">
        <v>45437</v>
      </c>
      <c r="B87" s="103"/>
      <c r="C87" s="103"/>
      <c r="D87" s="102">
        <v>0</v>
      </c>
      <c r="E87" s="102">
        <v>0</v>
      </c>
      <c r="F87" s="9"/>
      <c r="G87" s="119"/>
      <c r="H87" s="9"/>
      <c r="I87" s="102">
        <v>0</v>
      </c>
      <c r="J87" s="17">
        <v>0</v>
      </c>
      <c r="K87" s="17">
        <v>5.97</v>
      </c>
      <c r="L87" s="17">
        <v>17.97</v>
      </c>
      <c r="M87" s="36" t="s">
        <v>20</v>
      </c>
      <c r="N87" s="17" t="s">
        <v>20</v>
      </c>
      <c r="O87" s="48"/>
    </row>
    <row r="88" spans="1:15">
      <c r="A88" s="100">
        <v>45438</v>
      </c>
      <c r="B88" s="103"/>
      <c r="C88" s="103"/>
      <c r="D88" s="102">
        <v>0</v>
      </c>
      <c r="E88" s="102">
        <v>0</v>
      </c>
      <c r="F88" s="9"/>
      <c r="G88" s="20"/>
      <c r="H88" s="9"/>
      <c r="I88" s="102">
        <v>0</v>
      </c>
      <c r="J88" s="17">
        <v>0</v>
      </c>
      <c r="K88" s="17">
        <v>5.97</v>
      </c>
      <c r="L88" s="17">
        <v>17.97</v>
      </c>
      <c r="M88" s="36" t="s">
        <v>20</v>
      </c>
      <c r="N88" s="17" t="s">
        <v>20</v>
      </c>
      <c r="O88" s="48"/>
    </row>
    <row r="89" spans="1:15">
      <c r="A89" s="85" t="s">
        <v>26</v>
      </c>
      <c r="B89" s="85"/>
      <c r="C89" s="85"/>
      <c r="D89" s="104">
        <v>32.93</v>
      </c>
      <c r="E89" s="104">
        <v>32.93</v>
      </c>
      <c r="F89" s="19">
        <f>SUM(F82:F88)</f>
        <v>32.93</v>
      </c>
      <c r="G89" s="19">
        <f>SUM(G82:G88)</f>
        <v>0</v>
      </c>
      <c r="H89" s="19">
        <f>SUM(H82:H88)</f>
        <v>0</v>
      </c>
      <c r="I89" s="104">
        <f>SUM(I82:I88)</f>
        <v>28</v>
      </c>
      <c r="J89" s="18"/>
      <c r="K89" s="18"/>
      <c r="L89" s="18"/>
      <c r="M89" s="85"/>
      <c r="N89" s="18"/>
      <c r="O89" s="85"/>
    </row>
    <row r="90" spans="1:15" ht="15">
      <c r="B90" s="130"/>
      <c r="D90" s="130"/>
      <c r="E90" s="37"/>
      <c r="F90" s="131"/>
    </row>
    <row r="91" spans="1:15">
      <c r="B91" s="47"/>
      <c r="C91" s="112" t="s">
        <v>115</v>
      </c>
      <c r="D91" s="112"/>
      <c r="E91" s="112" t="s">
        <v>116</v>
      </c>
      <c r="F91" s="112"/>
    </row>
    <row r="92" spans="1:15" ht="90">
      <c r="A92" s="43" t="s">
        <v>141</v>
      </c>
      <c r="B92" s="90" t="s">
        <v>142</v>
      </c>
      <c r="C92" s="39" t="s">
        <v>118</v>
      </c>
      <c r="D92" s="40"/>
      <c r="E92" s="39" t="s">
        <v>118</v>
      </c>
      <c r="F92" s="40"/>
      <c r="G92" s="22"/>
    </row>
    <row r="93" spans="1:15" ht="30">
      <c r="B93" s="59" t="s">
        <v>143</v>
      </c>
      <c r="C93" s="62">
        <f>(I89*52/12)*0.33</f>
        <v>40.04</v>
      </c>
      <c r="D93" s="62" t="s">
        <v>144</v>
      </c>
      <c r="E93" s="62">
        <f>(I89*52/12)*0.33</f>
        <v>40.04</v>
      </c>
      <c r="F93" s="63" t="s">
        <v>145</v>
      </c>
      <c r="G93" s="43"/>
      <c r="H93" s="41"/>
    </row>
    <row r="94" spans="1:15" ht="45">
      <c r="B94" s="59" t="s">
        <v>146</v>
      </c>
      <c r="C94" s="126">
        <f>I89*1/3</f>
        <v>9.3333333333333339</v>
      </c>
      <c r="D94" s="132" t="s">
        <v>147</v>
      </c>
      <c r="E94" s="93">
        <f>I89*1/3</f>
        <v>9.3333333333333339</v>
      </c>
      <c r="F94" s="132"/>
      <c r="G94" s="22"/>
      <c r="H94" s="44"/>
    </row>
    <row r="95" spans="1:15" ht="45">
      <c r="B95" s="60" t="s">
        <v>148</v>
      </c>
      <c r="C95" s="126">
        <f>I89*1/10</f>
        <v>2.8</v>
      </c>
      <c r="D95" s="132" t="s">
        <v>147</v>
      </c>
      <c r="E95" s="133">
        <f>I89*1/10</f>
        <v>2.8</v>
      </c>
      <c r="F95" s="132"/>
      <c r="G95" s="22"/>
      <c r="H95" s="44"/>
    </row>
    <row r="96" spans="1:15" ht="75">
      <c r="B96" s="49" t="s">
        <v>149</v>
      </c>
      <c r="C96" s="125">
        <f>F89+G89-I89</f>
        <v>4.93</v>
      </c>
      <c r="D96" s="93" t="s">
        <v>120</v>
      </c>
      <c r="E96" s="125">
        <f>F89-I89</f>
        <v>4.93</v>
      </c>
      <c r="F96" s="93" t="s">
        <v>121</v>
      </c>
      <c r="G96" s="22"/>
      <c r="H96" s="44"/>
    </row>
    <row r="97" spans="1:18" ht="45">
      <c r="B97" s="49" t="s">
        <v>122</v>
      </c>
      <c r="C97" s="126"/>
      <c r="D97" s="93"/>
      <c r="E97" s="127">
        <f>G89</f>
        <v>0</v>
      </c>
      <c r="F97" s="93" t="s">
        <v>123</v>
      </c>
    </row>
    <row r="98" spans="1:18" ht="120">
      <c r="B98" s="90" t="s">
        <v>150</v>
      </c>
      <c r="C98" s="45"/>
      <c r="D98" s="61" t="s">
        <v>151</v>
      </c>
      <c r="E98" s="45"/>
      <c r="F98" s="61" t="s">
        <v>151</v>
      </c>
    </row>
    <row r="99" spans="1:18" ht="90">
      <c r="B99" s="90" t="s">
        <v>152</v>
      </c>
      <c r="C99" s="45">
        <f>IF(C96&gt;C95,C95,C96)</f>
        <v>2.8</v>
      </c>
      <c r="D99" s="61" t="s">
        <v>153</v>
      </c>
      <c r="E99" s="45">
        <f>IF(E96&gt;E95,C95,C96)</f>
        <v>2.8</v>
      </c>
      <c r="F99" s="61" t="s">
        <v>153</v>
      </c>
      <c r="I99" s="109"/>
      <c r="J99" s="109"/>
      <c r="K99" s="110"/>
    </row>
    <row r="100" spans="1:18" ht="75">
      <c r="B100" s="90" t="s">
        <v>154</v>
      </c>
      <c r="C100" s="54">
        <f>C96-C95</f>
        <v>2.13</v>
      </c>
      <c r="D100" s="61" t="s">
        <v>155</v>
      </c>
      <c r="E100" s="54">
        <f>E96-E95</f>
        <v>2.13</v>
      </c>
      <c r="F100" s="61" t="s">
        <v>155</v>
      </c>
      <c r="I100" s="109"/>
      <c r="J100" s="109"/>
      <c r="K100" s="111"/>
    </row>
    <row r="101" spans="1:18" ht="45">
      <c r="B101" s="90" t="s">
        <v>156</v>
      </c>
      <c r="C101" s="64"/>
      <c r="D101" s="61"/>
      <c r="E101" s="57">
        <f>E97</f>
        <v>0</v>
      </c>
      <c r="F101" s="42" t="s">
        <v>157</v>
      </c>
      <c r="K101" s="109"/>
    </row>
    <row r="103" spans="1:18">
      <c r="A103" s="47" t="s">
        <v>158</v>
      </c>
      <c r="C103" s="22"/>
      <c r="D103" s="22"/>
      <c r="E103" s="46"/>
    </row>
    <row r="104" spans="1:18" ht="24">
      <c r="A104" s="99" t="s">
        <v>8</v>
      </c>
      <c r="B104" s="99" t="s">
        <v>9</v>
      </c>
      <c r="C104" s="99" t="s">
        <v>10</v>
      </c>
      <c r="D104" s="99" t="s">
        <v>11</v>
      </c>
      <c r="E104" s="99" t="s">
        <v>12</v>
      </c>
      <c r="F104" s="50" t="s">
        <v>105</v>
      </c>
      <c r="G104" s="50" t="s">
        <v>106</v>
      </c>
      <c r="H104" s="50" t="s">
        <v>111</v>
      </c>
      <c r="I104" s="99" t="s">
        <v>13</v>
      </c>
      <c r="J104" s="99" t="s">
        <v>14</v>
      </c>
      <c r="K104" s="99" t="s">
        <v>15</v>
      </c>
      <c r="L104" s="99" t="s">
        <v>16</v>
      </c>
      <c r="M104" s="99" t="s">
        <v>17</v>
      </c>
      <c r="N104" s="99" t="s">
        <v>18</v>
      </c>
      <c r="O104" s="51" t="s">
        <v>16</v>
      </c>
      <c r="P104" s="118" t="s">
        <v>17</v>
      </c>
      <c r="Q104" s="51" t="s">
        <v>18</v>
      </c>
      <c r="R104" s="50" t="s">
        <v>108</v>
      </c>
    </row>
    <row r="105" spans="1:18">
      <c r="A105" s="100">
        <v>45572</v>
      </c>
      <c r="B105" s="101" t="s">
        <v>81</v>
      </c>
      <c r="C105" s="101" t="s">
        <v>81</v>
      </c>
      <c r="D105" s="102">
        <v>7.82</v>
      </c>
      <c r="E105" s="102">
        <v>7.82</v>
      </c>
      <c r="F105" s="20">
        <v>7.82</v>
      </c>
      <c r="G105" s="20"/>
      <c r="H105" s="20"/>
      <c r="I105" s="102">
        <v>8</v>
      </c>
      <c r="J105" s="102">
        <v>-0.18</v>
      </c>
      <c r="K105" s="102">
        <v>0.67</v>
      </c>
      <c r="L105" s="102">
        <v>2.7</v>
      </c>
      <c r="M105" s="36" t="s">
        <v>20</v>
      </c>
      <c r="N105" s="36" t="s">
        <v>20</v>
      </c>
      <c r="O105" s="17">
        <v>16.23</v>
      </c>
      <c r="P105" s="36" t="s">
        <v>54</v>
      </c>
      <c r="Q105" s="17" t="s">
        <v>20</v>
      </c>
      <c r="R105" s="48" t="s">
        <v>140</v>
      </c>
    </row>
    <row r="106" spans="1:18">
      <c r="A106" s="100">
        <v>45573</v>
      </c>
      <c r="B106" s="101" t="s">
        <v>159</v>
      </c>
      <c r="C106" s="101" t="s">
        <v>160</v>
      </c>
      <c r="D106" s="102">
        <v>10.3</v>
      </c>
      <c r="E106" s="102">
        <v>10</v>
      </c>
      <c r="F106" s="20">
        <v>10.3</v>
      </c>
      <c r="G106" s="20"/>
      <c r="H106" s="20"/>
      <c r="I106" s="102">
        <v>8</v>
      </c>
      <c r="J106" s="102">
        <v>0.45</v>
      </c>
      <c r="K106" s="102">
        <v>1.1200000000000001</v>
      </c>
      <c r="L106" s="102">
        <v>3.15</v>
      </c>
      <c r="M106" s="36" t="s">
        <v>20</v>
      </c>
      <c r="N106" s="36" t="s">
        <v>20</v>
      </c>
      <c r="O106" s="17">
        <v>15.73</v>
      </c>
      <c r="P106" s="36" t="s">
        <v>20</v>
      </c>
      <c r="Q106" s="17" t="s">
        <v>20</v>
      </c>
      <c r="R106" s="48"/>
    </row>
    <row r="107" spans="1:18">
      <c r="A107" s="100">
        <v>45574</v>
      </c>
      <c r="B107" s="103"/>
      <c r="C107" s="103"/>
      <c r="D107" s="102">
        <v>0</v>
      </c>
      <c r="E107" s="102">
        <v>0</v>
      </c>
      <c r="F107" s="20">
        <v>0</v>
      </c>
      <c r="G107" s="119"/>
      <c r="H107" s="20"/>
      <c r="I107" s="102">
        <v>0</v>
      </c>
      <c r="J107" s="102">
        <v>0</v>
      </c>
      <c r="K107" s="102">
        <v>1.1200000000000001</v>
      </c>
      <c r="L107" s="102">
        <v>3.15</v>
      </c>
      <c r="M107" s="36" t="s">
        <v>20</v>
      </c>
      <c r="N107" s="36" t="s">
        <v>20</v>
      </c>
      <c r="O107" s="17">
        <v>16.63</v>
      </c>
      <c r="P107" s="36" t="s">
        <v>20</v>
      </c>
      <c r="Q107" s="17" t="s">
        <v>20</v>
      </c>
      <c r="R107" s="120"/>
    </row>
    <row r="108" spans="1:18">
      <c r="A108" s="100">
        <v>45575</v>
      </c>
      <c r="B108" s="101" t="s">
        <v>161</v>
      </c>
      <c r="C108" s="101" t="s">
        <v>162</v>
      </c>
      <c r="D108" s="102">
        <v>9.7100000000000009</v>
      </c>
      <c r="E108" s="102">
        <v>9.7100000000000009</v>
      </c>
      <c r="F108" s="20">
        <v>9.7100000000000009</v>
      </c>
      <c r="G108" s="20"/>
      <c r="H108" s="20"/>
      <c r="I108" s="102">
        <v>8</v>
      </c>
      <c r="J108" s="102">
        <v>0.4</v>
      </c>
      <c r="K108" s="102">
        <v>1.52</v>
      </c>
      <c r="L108" s="102">
        <v>3.55</v>
      </c>
      <c r="M108" s="36" t="s">
        <v>20</v>
      </c>
      <c r="N108" s="36" t="s">
        <v>20</v>
      </c>
      <c r="O108" s="17">
        <v>17.98</v>
      </c>
      <c r="P108" s="36" t="s">
        <v>20</v>
      </c>
      <c r="Q108" s="17" t="s">
        <v>20</v>
      </c>
      <c r="R108" s="48"/>
    </row>
    <row r="109" spans="1:18">
      <c r="A109" s="100">
        <v>45576</v>
      </c>
      <c r="B109" s="101" t="s">
        <v>84</v>
      </c>
      <c r="C109" s="101" t="s">
        <v>84</v>
      </c>
      <c r="D109" s="102">
        <v>7.27</v>
      </c>
      <c r="E109" s="102">
        <v>7.27</v>
      </c>
      <c r="F109" s="20">
        <v>7.27</v>
      </c>
      <c r="G109" s="20"/>
      <c r="H109" s="20"/>
      <c r="I109" s="102">
        <v>8</v>
      </c>
      <c r="J109" s="102">
        <v>-0.73</v>
      </c>
      <c r="K109" s="102">
        <v>0.78</v>
      </c>
      <c r="L109" s="102">
        <v>2.82</v>
      </c>
      <c r="M109" s="36" t="s">
        <v>20</v>
      </c>
      <c r="N109" s="36" t="s">
        <v>20</v>
      </c>
      <c r="O109" s="17">
        <v>17.97</v>
      </c>
      <c r="P109" s="36" t="s">
        <v>20</v>
      </c>
      <c r="Q109" s="17" t="s">
        <v>20</v>
      </c>
      <c r="R109" s="48"/>
    </row>
    <row r="110" spans="1:18">
      <c r="A110" s="100">
        <v>45577</v>
      </c>
      <c r="B110" s="103"/>
      <c r="C110" s="103"/>
      <c r="D110" s="102">
        <v>0</v>
      </c>
      <c r="E110" s="102">
        <v>0</v>
      </c>
      <c r="F110" s="9"/>
      <c r="G110" s="119"/>
      <c r="H110" s="9"/>
      <c r="I110" s="102">
        <v>0</v>
      </c>
      <c r="J110" s="102">
        <v>0</v>
      </c>
      <c r="K110" s="102">
        <v>0.78</v>
      </c>
      <c r="L110" s="102">
        <v>2.82</v>
      </c>
      <c r="M110" s="36" t="s">
        <v>20</v>
      </c>
      <c r="N110" s="36" t="s">
        <v>20</v>
      </c>
      <c r="O110" s="17">
        <v>17.97</v>
      </c>
      <c r="P110" s="36" t="s">
        <v>20</v>
      </c>
      <c r="Q110" s="17" t="s">
        <v>20</v>
      </c>
      <c r="R110" s="48"/>
    </row>
    <row r="111" spans="1:18">
      <c r="A111" s="100">
        <v>45578</v>
      </c>
      <c r="B111" s="103"/>
      <c r="C111" s="103"/>
      <c r="D111" s="102">
        <v>0</v>
      </c>
      <c r="E111" s="102">
        <v>0</v>
      </c>
      <c r="F111" s="9"/>
      <c r="G111" s="20"/>
      <c r="H111" s="9"/>
      <c r="I111" s="102">
        <v>0</v>
      </c>
      <c r="J111" s="102">
        <v>0</v>
      </c>
      <c r="K111" s="102">
        <v>0.78</v>
      </c>
      <c r="L111" s="102">
        <v>2.82</v>
      </c>
      <c r="M111" s="36" t="s">
        <v>20</v>
      </c>
      <c r="N111" s="36" t="s">
        <v>20</v>
      </c>
      <c r="O111" s="17">
        <v>17.97</v>
      </c>
      <c r="P111" s="36" t="s">
        <v>20</v>
      </c>
      <c r="Q111" s="17" t="s">
        <v>20</v>
      </c>
      <c r="R111" s="48"/>
    </row>
    <row r="112" spans="1:18">
      <c r="A112" s="85" t="s">
        <v>26</v>
      </c>
      <c r="B112" s="85"/>
      <c r="C112" s="85"/>
      <c r="D112" s="104">
        <f>SUM(D105:D111)</f>
        <v>35.1</v>
      </c>
      <c r="E112" s="104">
        <f>SUM(E105:E111)</f>
        <v>34.799999999999997</v>
      </c>
      <c r="F112" s="19">
        <f>SUM(F105:F111)</f>
        <v>35.1</v>
      </c>
      <c r="G112" s="19">
        <f>SUM(G105:G111)</f>
        <v>0</v>
      </c>
      <c r="H112" s="19">
        <f>SUM(H105:H111)</f>
        <v>0</v>
      </c>
      <c r="I112" s="104">
        <v>32</v>
      </c>
      <c r="J112" s="85"/>
      <c r="K112" s="85"/>
      <c r="L112" s="85"/>
      <c r="M112" s="85"/>
      <c r="N112" s="85"/>
      <c r="O112" s="18"/>
      <c r="P112" s="85"/>
      <c r="Q112" s="18"/>
      <c r="R112" s="85"/>
    </row>
    <row r="113" spans="1:11" ht="15">
      <c r="B113" s="130"/>
      <c r="D113" s="130"/>
      <c r="E113" s="37"/>
      <c r="F113" s="131"/>
    </row>
    <row r="114" spans="1:11">
      <c r="B114" s="47"/>
      <c r="C114" s="112" t="s">
        <v>115</v>
      </c>
      <c r="D114" s="112"/>
      <c r="E114" s="112" t="s">
        <v>116</v>
      </c>
      <c r="F114" s="112"/>
    </row>
    <row r="115" spans="1:11" ht="90">
      <c r="A115" s="43" t="s">
        <v>141</v>
      </c>
      <c r="B115" s="90" t="s">
        <v>142</v>
      </c>
      <c r="C115" s="39" t="s">
        <v>118</v>
      </c>
      <c r="D115" s="40"/>
      <c r="E115" s="39" t="s">
        <v>118</v>
      </c>
      <c r="F115" s="40"/>
      <c r="G115" s="22"/>
    </row>
    <row r="116" spans="1:11" ht="45">
      <c r="B116" s="60" t="s">
        <v>148</v>
      </c>
      <c r="C116" s="62">
        <f>$I$112*0.1</f>
        <v>3.2</v>
      </c>
      <c r="D116" s="62" t="s">
        <v>163</v>
      </c>
      <c r="E116" s="62">
        <f>$I$112*0.1</f>
        <v>3.2</v>
      </c>
      <c r="F116" s="62" t="s">
        <v>163</v>
      </c>
      <c r="G116" s="43"/>
      <c r="H116" s="41"/>
    </row>
    <row r="117" spans="1:11" ht="45">
      <c r="B117" s="59" t="s">
        <v>146</v>
      </c>
      <c r="C117" s="126">
        <f>$I$112*1/3</f>
        <v>10.666666666666666</v>
      </c>
      <c r="D117" s="132" t="s">
        <v>147</v>
      </c>
      <c r="E117" s="93">
        <f>L112*1/3</f>
        <v>0</v>
      </c>
      <c r="F117" s="132"/>
      <c r="G117" s="22"/>
      <c r="H117" s="44"/>
    </row>
    <row r="118" spans="1:11" ht="45">
      <c r="B118" s="60" t="s">
        <v>164</v>
      </c>
      <c r="C118" s="126">
        <f>($I$112*52/12)*1/3</f>
        <v>46.222222222222221</v>
      </c>
      <c r="D118" s="132" t="s">
        <v>147</v>
      </c>
      <c r="E118" s="133">
        <f>L112*1/10</f>
        <v>0</v>
      </c>
      <c r="F118" s="132"/>
      <c r="G118" s="22"/>
      <c r="H118" s="44"/>
    </row>
    <row r="119" spans="1:11" ht="75">
      <c r="B119" s="49" t="s">
        <v>149</v>
      </c>
      <c r="C119" s="125">
        <f>I112+J112-L112</f>
        <v>32</v>
      </c>
      <c r="D119" s="93" t="s">
        <v>120</v>
      </c>
      <c r="E119" s="125">
        <f>I112-L112</f>
        <v>32</v>
      </c>
      <c r="F119" s="93" t="s">
        <v>121</v>
      </c>
      <c r="G119" s="22"/>
      <c r="H119" s="44"/>
    </row>
    <row r="120" spans="1:11" ht="45">
      <c r="B120" s="49" t="s">
        <v>122</v>
      </c>
      <c r="C120" s="126"/>
      <c r="D120" s="93"/>
      <c r="E120" s="127">
        <f>J112</f>
        <v>0</v>
      </c>
      <c r="F120" s="93" t="s">
        <v>123</v>
      </c>
    </row>
    <row r="121" spans="1:11" ht="120">
      <c r="B121" s="90" t="s">
        <v>150</v>
      </c>
      <c r="C121" s="45"/>
      <c r="D121" s="61" t="s">
        <v>151</v>
      </c>
      <c r="E121" s="45"/>
      <c r="F121" s="61" t="s">
        <v>151</v>
      </c>
    </row>
    <row r="122" spans="1:11" ht="90">
      <c r="B122" s="90" t="s">
        <v>152</v>
      </c>
      <c r="C122" s="45">
        <f>IF(C119&gt;C118,C118,C119)</f>
        <v>32</v>
      </c>
      <c r="D122" s="61" t="s">
        <v>153</v>
      </c>
      <c r="E122" s="45">
        <f>IF(E119&gt;E118,C118,C119)</f>
        <v>46.222222222222221</v>
      </c>
      <c r="F122" s="61" t="s">
        <v>153</v>
      </c>
      <c r="K122" s="21" t="s">
        <v>165</v>
      </c>
    </row>
    <row r="123" spans="1:11" ht="75">
      <c r="B123" s="90" t="s">
        <v>154</v>
      </c>
      <c r="C123" s="54">
        <f>C119-C118</f>
        <v>-14.222222222222221</v>
      </c>
      <c r="D123" s="61" t="s">
        <v>155</v>
      </c>
      <c r="E123" s="54">
        <f>E119-E118</f>
        <v>32</v>
      </c>
      <c r="F123" s="61" t="s">
        <v>155</v>
      </c>
      <c r="K123" s="5"/>
    </row>
    <row r="124" spans="1:11" ht="45">
      <c r="B124" s="90" t="s">
        <v>156</v>
      </c>
      <c r="C124" s="64"/>
      <c r="D124" s="61"/>
      <c r="E124" s="57">
        <f>E120</f>
        <v>0</v>
      </c>
      <c r="F124" s="42" t="s">
        <v>157</v>
      </c>
    </row>
    <row r="127" spans="1:11" ht="15.75">
      <c r="A127" s="75" t="s">
        <v>166</v>
      </c>
      <c r="B127" s="130"/>
      <c r="D127" s="130"/>
      <c r="E127" s="37"/>
      <c r="F127" s="131"/>
    </row>
    <row r="128" spans="1:11" ht="15">
      <c r="A128" s="47" t="s">
        <v>104</v>
      </c>
      <c r="B128" s="130"/>
      <c r="D128" s="130"/>
      <c r="E128" s="37"/>
      <c r="F128" s="131"/>
    </row>
    <row r="129" spans="1:22">
      <c r="A129" s="22" t="s">
        <v>167</v>
      </c>
      <c r="G129" s="22"/>
      <c r="H129" s="44"/>
    </row>
    <row r="130" spans="1:22">
      <c r="A130" t="s">
        <v>168</v>
      </c>
      <c r="G130" s="22"/>
      <c r="H130" s="44"/>
    </row>
    <row r="131" spans="1:22">
      <c r="A131" s="22" t="s">
        <v>169</v>
      </c>
    </row>
    <row r="132" spans="1:22">
      <c r="A132" s="22" t="s">
        <v>170</v>
      </c>
    </row>
    <row r="133" spans="1:22">
      <c r="A133" s="22" t="s">
        <v>171</v>
      </c>
    </row>
    <row r="134" spans="1:22">
      <c r="A134" s="22"/>
    </row>
    <row r="135" spans="1:22">
      <c r="A135" s="22"/>
    </row>
    <row r="136" spans="1:22">
      <c r="A136" t="s">
        <v>172</v>
      </c>
    </row>
    <row r="138" spans="1:22" ht="12.75" customHeight="1">
      <c r="A138" s="6" t="s">
        <v>8</v>
      </c>
      <c r="B138" s="6" t="s">
        <v>10</v>
      </c>
      <c r="C138" s="6" t="s">
        <v>11</v>
      </c>
      <c r="D138" s="6" t="s">
        <v>12</v>
      </c>
      <c r="E138" s="6" t="s">
        <v>13</v>
      </c>
      <c r="F138" s="6" t="s">
        <v>14</v>
      </c>
      <c r="G138" s="6" t="s">
        <v>15</v>
      </c>
      <c r="H138" s="6" t="s">
        <v>16</v>
      </c>
      <c r="I138" s="6" t="s">
        <v>17</v>
      </c>
      <c r="J138" s="6" t="s">
        <v>18</v>
      </c>
      <c r="M138" s="91"/>
      <c r="N138" s="91"/>
      <c r="O138" s="91"/>
      <c r="P138" s="91"/>
      <c r="Q138" s="91"/>
      <c r="R138" s="91"/>
      <c r="S138" s="91"/>
      <c r="T138" s="91"/>
      <c r="U138" s="91"/>
      <c r="V138" s="91"/>
    </row>
    <row r="139" spans="1:22">
      <c r="A139" s="7">
        <v>45566</v>
      </c>
      <c r="B139" s="11"/>
      <c r="C139" s="9">
        <v>0</v>
      </c>
      <c r="D139" s="9">
        <v>0</v>
      </c>
      <c r="E139" s="9">
        <v>7.8</v>
      </c>
      <c r="F139" s="9">
        <v>0</v>
      </c>
      <c r="G139" s="9">
        <v>0</v>
      </c>
      <c r="H139" s="9">
        <v>0</v>
      </c>
      <c r="I139" s="10"/>
      <c r="J139" s="10" t="s">
        <v>173</v>
      </c>
      <c r="M139" s="52"/>
      <c r="N139" s="52"/>
      <c r="O139" s="52"/>
      <c r="P139" s="52"/>
      <c r="Q139" s="52"/>
      <c r="R139" s="52"/>
      <c r="S139" s="52"/>
      <c r="T139" s="52"/>
      <c r="U139" s="52"/>
      <c r="V139" s="52"/>
    </row>
    <row r="140" spans="1:22" ht="12.75" customHeight="1">
      <c r="A140" s="7">
        <v>45567</v>
      </c>
      <c r="B140" s="11"/>
      <c r="C140" s="9">
        <v>0</v>
      </c>
      <c r="D140" s="9">
        <v>0</v>
      </c>
      <c r="E140" s="9">
        <v>7.8</v>
      </c>
      <c r="F140" s="9">
        <v>0</v>
      </c>
      <c r="G140" s="9">
        <v>0</v>
      </c>
      <c r="H140" s="9">
        <v>0</v>
      </c>
      <c r="I140" s="10" t="s">
        <v>20</v>
      </c>
      <c r="J140" s="10" t="s">
        <v>173</v>
      </c>
      <c r="M140" s="91"/>
      <c r="N140" s="91"/>
      <c r="O140" s="91"/>
      <c r="P140" s="91"/>
      <c r="Q140" s="91"/>
      <c r="R140" s="91"/>
      <c r="S140" s="91"/>
      <c r="T140" s="91"/>
      <c r="U140" s="91"/>
      <c r="V140" s="91"/>
    </row>
    <row r="141" spans="1:22">
      <c r="A141" s="7">
        <v>45568</v>
      </c>
      <c r="B141" s="11"/>
      <c r="C141" s="9">
        <v>0</v>
      </c>
      <c r="D141" s="9">
        <v>0</v>
      </c>
      <c r="E141" s="9">
        <v>7.8</v>
      </c>
      <c r="F141" s="9">
        <v>0</v>
      </c>
      <c r="G141" s="9">
        <v>0</v>
      </c>
      <c r="H141" s="9">
        <v>0</v>
      </c>
      <c r="I141" s="10" t="s">
        <v>20</v>
      </c>
      <c r="J141" s="10" t="s">
        <v>173</v>
      </c>
      <c r="M141" s="91"/>
      <c r="N141" s="91"/>
      <c r="O141" s="91"/>
      <c r="P141" s="91"/>
      <c r="Q141" s="91"/>
      <c r="R141" s="91"/>
      <c r="S141" s="91"/>
      <c r="T141" s="91"/>
      <c r="U141" s="91"/>
      <c r="V141" s="91"/>
    </row>
    <row r="142" spans="1:22">
      <c r="A142" s="7">
        <v>45569</v>
      </c>
      <c r="B142" s="11"/>
      <c r="C142" s="9">
        <v>0</v>
      </c>
      <c r="D142" s="9">
        <v>0</v>
      </c>
      <c r="E142" s="9">
        <v>7.8</v>
      </c>
      <c r="F142" s="9">
        <v>0</v>
      </c>
      <c r="G142" s="9">
        <v>0</v>
      </c>
      <c r="H142" s="9">
        <v>0</v>
      </c>
      <c r="I142" s="10" t="s">
        <v>20</v>
      </c>
      <c r="J142" s="10" t="s">
        <v>173</v>
      </c>
      <c r="M142" s="92"/>
      <c r="N142" s="52"/>
      <c r="O142" s="52"/>
      <c r="P142" s="52"/>
      <c r="Q142" s="52"/>
      <c r="R142" s="52"/>
      <c r="S142" s="52"/>
      <c r="T142" s="52"/>
      <c r="U142" s="52"/>
      <c r="V142" s="52"/>
    </row>
    <row r="143" spans="1:22">
      <c r="A143" s="7">
        <v>45570</v>
      </c>
      <c r="B143" s="11"/>
      <c r="C143" s="9">
        <v>0</v>
      </c>
      <c r="D143" s="9">
        <v>0</v>
      </c>
      <c r="E143" s="9">
        <v>7.8</v>
      </c>
      <c r="F143" s="9">
        <v>0</v>
      </c>
      <c r="G143" s="9">
        <v>0</v>
      </c>
      <c r="H143" s="9">
        <v>0</v>
      </c>
      <c r="I143" s="10" t="s">
        <v>20</v>
      </c>
      <c r="J143" s="10" t="s">
        <v>173</v>
      </c>
      <c r="M143" s="52"/>
      <c r="N143" s="52"/>
      <c r="O143" s="52"/>
      <c r="P143" s="52"/>
      <c r="Q143" s="52"/>
      <c r="R143" s="52"/>
      <c r="S143" s="52"/>
      <c r="T143" s="52"/>
      <c r="U143" s="52"/>
      <c r="V143" s="52"/>
    </row>
    <row r="144" spans="1:22">
      <c r="A144" s="7">
        <v>45571</v>
      </c>
      <c r="B144" s="11"/>
      <c r="C144" s="9">
        <v>0</v>
      </c>
      <c r="D144" s="9">
        <v>0</v>
      </c>
      <c r="E144" s="9">
        <v>0</v>
      </c>
      <c r="F144" s="9">
        <v>0</v>
      </c>
      <c r="G144" s="9">
        <v>0</v>
      </c>
      <c r="H144" s="9">
        <v>0</v>
      </c>
      <c r="I144" s="10" t="s">
        <v>20</v>
      </c>
      <c r="J144" s="10" t="s">
        <v>20</v>
      </c>
    </row>
    <row r="145" spans="1:10">
      <c r="A145" s="7">
        <v>45572</v>
      </c>
      <c r="B145" s="11"/>
      <c r="C145" s="9">
        <v>0</v>
      </c>
      <c r="D145" s="9">
        <v>0</v>
      </c>
      <c r="E145" s="9">
        <v>0</v>
      </c>
      <c r="F145" s="9">
        <v>0</v>
      </c>
      <c r="G145" s="9">
        <v>0</v>
      </c>
      <c r="H145" s="9">
        <v>0</v>
      </c>
      <c r="I145" s="10" t="s">
        <v>20</v>
      </c>
      <c r="J145" s="10" t="s">
        <v>20</v>
      </c>
    </row>
    <row r="146" spans="1:10">
      <c r="A146" s="12" t="s">
        <v>26</v>
      </c>
      <c r="B146" s="12"/>
      <c r="C146" s="13">
        <v>0</v>
      </c>
      <c r="D146" s="13">
        <v>0</v>
      </c>
      <c r="E146" s="13">
        <f>SUM(E139:E145)</f>
        <v>39</v>
      </c>
      <c r="F146" s="12"/>
      <c r="G146" s="12"/>
      <c r="H146" s="12"/>
      <c r="I146" s="12"/>
      <c r="J146" s="12"/>
    </row>
    <row r="147" spans="1:10">
      <c r="B147" s="47"/>
      <c r="C147" s="112"/>
      <c r="D147" s="112"/>
    </row>
    <row r="148" spans="1:10" ht="60">
      <c r="B148" s="90" t="s">
        <v>174</v>
      </c>
      <c r="C148" s="39" t="s">
        <v>118</v>
      </c>
      <c r="D148" s="76" t="s">
        <v>175</v>
      </c>
    </row>
    <row r="149" spans="1:10" ht="30">
      <c r="B149" s="49" t="s">
        <v>176</v>
      </c>
      <c r="C149" s="134">
        <v>2.5</v>
      </c>
      <c r="D149" s="93" t="s">
        <v>177</v>
      </c>
    </row>
    <row r="150" spans="1:10" ht="75">
      <c r="B150" s="49" t="s">
        <v>178</v>
      </c>
      <c r="C150" s="134">
        <v>11.5</v>
      </c>
      <c r="D150" s="93" t="s">
        <v>179</v>
      </c>
    </row>
    <row r="151" spans="1:10" ht="90">
      <c r="B151" s="90" t="s">
        <v>180</v>
      </c>
      <c r="C151" s="94">
        <f>INT((C149+C150)/4)*4</f>
        <v>12</v>
      </c>
      <c r="D151" s="42" t="s">
        <v>181</v>
      </c>
    </row>
    <row r="152" spans="1:10" ht="30">
      <c r="B152" s="49" t="s">
        <v>182</v>
      </c>
      <c r="C152" s="134">
        <f>(C149+C150)-C151</f>
        <v>2</v>
      </c>
      <c r="D152" s="93" t="s">
        <v>183</v>
      </c>
    </row>
    <row r="156" spans="1:10">
      <c r="B156" s="22"/>
    </row>
    <row r="157" spans="1:10">
      <c r="B157" s="22"/>
    </row>
    <row r="158" spans="1:10">
      <c r="B158" s="22"/>
    </row>
    <row r="160" spans="1:10">
      <c r="B160" s="22"/>
    </row>
    <row r="161" spans="1:1">
      <c r="A161" s="22"/>
    </row>
  </sheetData>
  <mergeCells count="10">
    <mergeCell ref="E3:G3"/>
    <mergeCell ref="C36:D36"/>
    <mergeCell ref="E36:F36"/>
    <mergeCell ref="C147:D147"/>
    <mergeCell ref="E58:F58"/>
    <mergeCell ref="C58:D58"/>
    <mergeCell ref="C91:D91"/>
    <mergeCell ref="E91:F91"/>
    <mergeCell ref="C114:D114"/>
    <mergeCell ref="E114:F114"/>
  </mergeCells>
  <phoneticPr fontId="20" type="noConversion"/>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09C66-2EF9-4136-8A36-1BDCCCCD5695}">
  <sheetPr>
    <tabColor rgb="FF92D050"/>
  </sheetPr>
  <dimension ref="A1:D22"/>
  <sheetViews>
    <sheetView tabSelected="1" workbookViewId="0">
      <selection activeCell="F7" sqref="F7"/>
    </sheetView>
  </sheetViews>
  <sheetFormatPr defaultColWidth="25.7109375" defaultRowHeight="12.75"/>
  <cols>
    <col min="1" max="3" width="25.7109375" style="78"/>
    <col min="4" max="4" width="27.7109375" bestFit="1" customWidth="1"/>
  </cols>
  <sheetData>
    <row r="1" spans="1:4">
      <c r="A1" s="83"/>
      <c r="B1" s="80" t="s">
        <v>184</v>
      </c>
      <c r="C1" s="80" t="s">
        <v>185</v>
      </c>
    </row>
    <row r="2" spans="1:4">
      <c r="A2" s="80" t="s">
        <v>186</v>
      </c>
      <c r="B2" s="95" t="s">
        <v>187</v>
      </c>
      <c r="C2" s="80"/>
    </row>
    <row r="3" spans="1:4">
      <c r="A3" s="80" t="s">
        <v>188</v>
      </c>
      <c r="B3" s="95" t="s">
        <v>187</v>
      </c>
      <c r="C3" s="80"/>
    </row>
    <row r="4" spans="1:4" ht="51">
      <c r="A4" s="80" t="s">
        <v>189</v>
      </c>
      <c r="B4" s="84" t="s">
        <v>190</v>
      </c>
      <c r="C4" s="84" t="s">
        <v>191</v>
      </c>
      <c r="D4" s="89" t="s">
        <v>192</v>
      </c>
    </row>
    <row r="5" spans="1:4" ht="51">
      <c r="A5" s="80" t="s">
        <v>193</v>
      </c>
      <c r="B5" s="83" t="s">
        <v>194</v>
      </c>
      <c r="C5" s="84" t="s">
        <v>191</v>
      </c>
    </row>
    <row r="6" spans="1:4" ht="63.75">
      <c r="A6" s="80" t="s">
        <v>195</v>
      </c>
      <c r="B6" s="84" t="s">
        <v>196</v>
      </c>
      <c r="C6" s="84" t="s">
        <v>197</v>
      </c>
    </row>
    <row r="7" spans="1:4" ht="38.25">
      <c r="A7" s="135" t="s">
        <v>8</v>
      </c>
      <c r="B7" s="84" t="s">
        <v>198</v>
      </c>
      <c r="C7" s="83" t="s">
        <v>199</v>
      </c>
    </row>
    <row r="8" spans="1:4" ht="38.25">
      <c r="A8" s="135" t="s">
        <v>9</v>
      </c>
      <c r="B8" s="84" t="s">
        <v>200</v>
      </c>
      <c r="C8" s="83" t="s">
        <v>199</v>
      </c>
    </row>
    <row r="9" spans="1:4" ht="51">
      <c r="A9" s="135" t="s">
        <v>10</v>
      </c>
      <c r="B9" s="84" t="s">
        <v>201</v>
      </c>
      <c r="C9" s="83" t="s">
        <v>199</v>
      </c>
    </row>
    <row r="10" spans="1:4" ht="38.25">
      <c r="A10" s="135" t="s">
        <v>11</v>
      </c>
      <c r="B10" s="84" t="s">
        <v>202</v>
      </c>
      <c r="C10" s="83" t="s">
        <v>199</v>
      </c>
    </row>
    <row r="11" spans="1:4" ht="38.25">
      <c r="A11" s="135" t="s">
        <v>12</v>
      </c>
      <c r="B11" s="84" t="s">
        <v>203</v>
      </c>
      <c r="C11" s="83" t="s">
        <v>199</v>
      </c>
    </row>
    <row r="12" spans="1:4" ht="25.5">
      <c r="A12" s="81" t="s">
        <v>105</v>
      </c>
      <c r="B12" s="84" t="s">
        <v>204</v>
      </c>
      <c r="C12" s="84" t="s">
        <v>205</v>
      </c>
    </row>
    <row r="13" spans="1:4" ht="25.5">
      <c r="A13" s="81" t="s">
        <v>106</v>
      </c>
      <c r="B13" s="84" t="s">
        <v>204</v>
      </c>
      <c r="C13" s="84" t="s">
        <v>205</v>
      </c>
    </row>
    <row r="14" spans="1:4" ht="25.5">
      <c r="A14" s="81" t="s">
        <v>107</v>
      </c>
      <c r="B14" s="84" t="s">
        <v>204</v>
      </c>
      <c r="C14" s="84" t="s">
        <v>205</v>
      </c>
    </row>
    <row r="15" spans="1:4" ht="38.25">
      <c r="A15" s="81" t="s">
        <v>13</v>
      </c>
      <c r="B15" s="84" t="s">
        <v>206</v>
      </c>
      <c r="C15" s="83" t="s">
        <v>199</v>
      </c>
    </row>
    <row r="16" spans="1:4" ht="38.25">
      <c r="A16" s="86" t="s">
        <v>14</v>
      </c>
      <c r="B16" s="87"/>
      <c r="C16" s="88" t="s">
        <v>199</v>
      </c>
    </row>
    <row r="17" spans="1:3" ht="38.25">
      <c r="A17" s="82" t="s">
        <v>15</v>
      </c>
      <c r="B17" s="84" t="s">
        <v>207</v>
      </c>
      <c r="C17" s="83" t="s">
        <v>199</v>
      </c>
    </row>
    <row r="18" spans="1:3" ht="38.25">
      <c r="A18" s="82" t="s">
        <v>16</v>
      </c>
      <c r="B18" s="84" t="s">
        <v>207</v>
      </c>
      <c r="C18" s="83" t="s">
        <v>199</v>
      </c>
    </row>
    <row r="19" spans="1:3" ht="38.25">
      <c r="A19" s="135" t="s">
        <v>17</v>
      </c>
      <c r="B19" s="84" t="s">
        <v>208</v>
      </c>
      <c r="C19" s="83" t="s">
        <v>199</v>
      </c>
    </row>
    <row r="20" spans="1:3" ht="38.25">
      <c r="A20" s="82" t="s">
        <v>18</v>
      </c>
      <c r="B20" s="84" t="s">
        <v>209</v>
      </c>
      <c r="C20" s="83" t="s">
        <v>199</v>
      </c>
    </row>
    <row r="21" spans="1:3" ht="25.5">
      <c r="A21" s="81" t="s">
        <v>108</v>
      </c>
      <c r="B21" s="84" t="s">
        <v>204</v>
      </c>
      <c r="C21" s="84" t="s">
        <v>205</v>
      </c>
    </row>
    <row r="22" spans="1:3" ht="25.5">
      <c r="A22" s="81" t="s">
        <v>26</v>
      </c>
      <c r="B22" s="84" t="s">
        <v>210</v>
      </c>
      <c r="C22" s="84"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C0512-79B9-4A4E-9F37-8AD61A33DC7E}">
  <dimension ref="A1:C6"/>
  <sheetViews>
    <sheetView workbookViewId="0">
      <selection activeCell="E12" sqref="E12"/>
    </sheetView>
  </sheetViews>
  <sheetFormatPr defaultColWidth="11.42578125" defaultRowHeight="12.75"/>
  <cols>
    <col min="3" max="3" width="18.42578125" bestFit="1" customWidth="1"/>
  </cols>
  <sheetData>
    <row r="1" spans="1:3">
      <c r="A1" t="s">
        <v>212</v>
      </c>
    </row>
    <row r="2" spans="1:3">
      <c r="B2" t="s">
        <v>213</v>
      </c>
    </row>
    <row r="3" spans="1:3">
      <c r="B3" t="s">
        <v>214</v>
      </c>
      <c r="C3" t="s">
        <v>215</v>
      </c>
    </row>
    <row r="4" spans="1:3">
      <c r="B4" t="s">
        <v>216</v>
      </c>
      <c r="C4" t="s">
        <v>215</v>
      </c>
    </row>
    <row r="5" spans="1:3">
      <c r="B5" t="s">
        <v>217</v>
      </c>
      <c r="C5" t="s">
        <v>218</v>
      </c>
    </row>
    <row r="6" spans="1:3">
      <c r="B6" t="s">
        <v>219</v>
      </c>
      <c r="C6" t="s">
        <v>218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A3DE9-95A9-4D75-A406-35DBF463EFE9}">
  <sheetPr>
    <tabColor rgb="FF92D050"/>
  </sheetPr>
  <dimension ref="A1:D16"/>
  <sheetViews>
    <sheetView zoomScale="172" zoomScaleNormal="172" workbookViewId="0">
      <selection activeCell="C13" sqref="C13"/>
    </sheetView>
  </sheetViews>
  <sheetFormatPr defaultColWidth="11.42578125" defaultRowHeight="15"/>
  <cols>
    <col min="1" max="1" width="74.7109375" style="23" bestFit="1" customWidth="1"/>
    <col min="2" max="3" width="11.42578125" style="23"/>
    <col min="4" max="4" width="54.7109375" style="23" bestFit="1" customWidth="1"/>
    <col min="5" max="16384" width="11.42578125" style="23"/>
  </cols>
  <sheetData>
    <row r="1" spans="1:4">
      <c r="A1" s="23" t="s">
        <v>133</v>
      </c>
      <c r="B1" s="24"/>
      <c r="C1" s="25">
        <f>HOUR(B1)+MINUTE(B1)/60</f>
        <v>0</v>
      </c>
    </row>
    <row r="2" spans="1:4">
      <c r="A2" s="23" t="s">
        <v>220</v>
      </c>
      <c r="B2" s="24"/>
      <c r="C2" s="25">
        <f>HOUR(B2)+MINUTE(B2)/60</f>
        <v>0</v>
      </c>
    </row>
    <row r="3" spans="1:4">
      <c r="A3" s="23" t="s">
        <v>221</v>
      </c>
      <c r="B3" s="26"/>
    </row>
    <row r="4" spans="1:4">
      <c r="A4" s="23" t="s">
        <v>222</v>
      </c>
      <c r="B4" s="26"/>
    </row>
    <row r="5" spans="1:4">
      <c r="A5" s="23" t="s">
        <v>223</v>
      </c>
      <c r="B5" s="26"/>
    </row>
    <row r="6" spans="1:4">
      <c r="A6" s="23" t="s">
        <v>224</v>
      </c>
      <c r="B6" s="27">
        <f>SUM(B3:B5)</f>
        <v>0</v>
      </c>
    </row>
    <row r="7" spans="1:4">
      <c r="A7" s="23" t="s">
        <v>225</v>
      </c>
      <c r="B7" s="26">
        <v>1.625</v>
      </c>
    </row>
    <row r="8" spans="1:4">
      <c r="A8" s="23" t="s">
        <v>226</v>
      </c>
      <c r="B8" s="28">
        <v>39</v>
      </c>
      <c r="C8" s="29"/>
    </row>
    <row r="9" spans="1:4">
      <c r="A9" s="23" t="s">
        <v>227</v>
      </c>
      <c r="B9" s="30">
        <f>IF(IF(B6-B7&gt;B1,B1,B6-B7)&lt;B2,B2,IF(B6-B7&gt;B1,B1,B6-B7))</f>
        <v>0</v>
      </c>
    </row>
    <row r="10" spans="1:4">
      <c r="A10" s="23" t="s">
        <v>228</v>
      </c>
      <c r="B10" s="30">
        <f>B2</f>
        <v>0</v>
      </c>
    </row>
    <row r="11" spans="1:4">
      <c r="A11" s="23" t="s">
        <v>229</v>
      </c>
      <c r="B11" s="30">
        <f>B1-B9</f>
        <v>0</v>
      </c>
    </row>
    <row r="12" spans="1:4">
      <c r="A12" s="23" t="s">
        <v>230</v>
      </c>
      <c r="B12" s="25">
        <f>HOUR(B9+B10)+MINUTE(B9+B10)/60</f>
        <v>0</v>
      </c>
    </row>
    <row r="13" spans="1:4">
      <c r="A13" s="23" t="s">
        <v>231</v>
      </c>
      <c r="B13" s="25">
        <f>B8+B12</f>
        <v>39</v>
      </c>
    </row>
    <row r="14" spans="1:4">
      <c r="A14" s="31" t="s">
        <v>232</v>
      </c>
      <c r="B14" s="27">
        <f>B6-B5</f>
        <v>0</v>
      </c>
    </row>
    <row r="15" spans="1:4">
      <c r="A15" s="23" t="s">
        <v>233</v>
      </c>
      <c r="B15" s="32">
        <f>B9-B5</f>
        <v>0</v>
      </c>
      <c r="C15" s="33"/>
      <c r="D15" s="34"/>
    </row>
    <row r="16" spans="1:4">
      <c r="A16" s="23" t="s">
        <v>234</v>
      </c>
      <c r="B16" s="32">
        <f>B2</f>
        <v>0</v>
      </c>
      <c r="C16" s="33"/>
      <c r="D16" s="34"/>
    </row>
  </sheetData>
  <conditionalFormatting sqref="C15:C16">
    <cfRule type="containsBlanks" dxfId="0" priority="1">
      <formula>LEN(TRIM(C15))=0</formula>
    </cfRule>
  </conditionalFormatting>
  <pageMargins left="0.7" right="0.7" top="0.75" bottom="0.75" header="0.3" footer="0.3"/>
  <pageSetup paperSize="9"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618E51892316408EBEDE7ADCCC48CC" ma:contentTypeVersion="19" ma:contentTypeDescription="Crée un document." ma:contentTypeScope="" ma:versionID="a22ae328b544f8caa4e3dcf48adca260">
  <xsd:schema xmlns:xsd="http://www.w3.org/2001/XMLSchema" xmlns:xs="http://www.w3.org/2001/XMLSchema" xmlns:p="http://schemas.microsoft.com/office/2006/metadata/properties" xmlns:ns1="http://schemas.microsoft.com/sharepoint/v3" xmlns:ns2="e9498f14-4a3b-46f8-8f88-c890b8eaeb01" xmlns:ns3="b568ba3b-0a9e-4304-90bc-2f77e2aeea54" targetNamespace="http://schemas.microsoft.com/office/2006/metadata/properties" ma:root="true" ma:fieldsID="83fec29d968468b1821fafb3e3559fbf" ns1:_="" ns2:_="" ns3:_="">
    <xsd:import namespace="http://schemas.microsoft.com/sharepoint/v3"/>
    <xsd:import namespace="e9498f14-4a3b-46f8-8f88-c890b8eaeb01"/>
    <xsd:import namespace="b568ba3b-0a9e-4304-90bc-2f77e2aeea5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1:PublishingStartDate" minOccurs="0"/>
                <xsd:element ref="ns1:PublishingExpirationDate" minOccurs="0"/>
                <xsd:element ref="ns2:MediaServiceOCR" minOccurs="0"/>
                <xsd:element ref="ns2:MediaServiceLocation"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4"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15"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9498f14-4a3b-46f8-8f88-c890b8eaeb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Balises d’images" ma:readOnly="false" ma:fieldId="{5cf76f15-5ced-4ddc-b409-7134ff3c332f}" ma:taxonomyMulti="true" ma:sspId="60315fbd-64dd-42b6-8821-119951e42b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568ba3b-0a9e-4304-90bc-2f77e2aeea54"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5" nillable="true" ma:displayName="Taxonomy Catch All Column" ma:hidden="true" ma:list="{f8829529-9629-4a0b-bd74-c4d0bbb25fbb}" ma:internalName="TaxCatchAll" ma:showField="CatchAllData" ma:web="b568ba3b-0a9e-4304-90bc-2f77e2aeea54">
      <xsd:complexType>
        <xsd:complexContent>
          <xsd:extension base="dms:MultiChoiceLookup">
            <xsd:sequence>
              <xsd:element name="Value" type="dms:Lookup" maxOccurs="unbounded" minOccurs="0" nillable="true"/>
            </xsd:sequence>
          </xsd:extension>
        </xsd:complexContent>
      </xsd:complexType>
    </xsd:element>
    <xsd:element name="_dlc_DocId" ma:index="27" nillable="true" ma:displayName="Valeur d’ID de document" ma:description="Valeur de l’ID de document affecté à cet élément." ma:indexed="true" ma:internalName="_dlc_DocId" ma:readOnly="true">
      <xsd:simpleType>
        <xsd:restriction base="dms:Text"/>
      </xsd:simpleType>
    </xsd:element>
    <xsd:element name="_dlc_DocIdUrl" ma:index="28" nillable="true" ma:displayName="ID de document" ma:description="Lien permanent vers ce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568ba3b-0a9e-4304-90bc-2f77e2aeea54" xsi:nil="true"/>
    <lcf76f155ced4ddcb4097134ff3c332f xmlns="e9498f14-4a3b-46f8-8f88-c890b8eaeb01">
      <Terms xmlns="http://schemas.microsoft.com/office/infopath/2007/PartnerControls"/>
    </lcf76f155ced4ddcb4097134ff3c332f>
    <PublishingExpirationDate xmlns="http://schemas.microsoft.com/sharepoint/v3" xsi:nil="true"/>
    <PublishingStartDate xmlns="http://schemas.microsoft.com/sharepoint/v3" xsi:nil="true"/>
    <SharedWithUsers xmlns="b568ba3b-0a9e-4304-90bc-2f77e2aeea54">
      <UserInfo>
        <DisplayName/>
        <AccountId xsi:nil="true"/>
        <AccountType/>
      </UserInfo>
    </SharedWithUsers>
    <_dlc_DocId xmlns="b568ba3b-0a9e-4304-90bc-2f77e2aeea54">R6FSRZZME63M-654197140-117629</_dlc_DocId>
    <_dlc_DocIdUrl xmlns="b568ba3b-0a9e-4304-90bc-2f77e2aeea54">
      <Url>https://recouv.sharepoint.com/sites/ACOSSDSISD-DOSDigitalOffresagentsRAD/_layouts/15/DocIdRedir.aspx?ID=R6FSRZZME63M-654197140-117629</Url>
      <Description>R6FSRZZME63M-654197140-117629</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6EA418F-EBA0-4B05-B7E3-79967F49E5F4}"/>
</file>

<file path=customXml/itemProps2.xml><?xml version="1.0" encoding="utf-8"?>
<ds:datastoreItem xmlns:ds="http://schemas.openxmlformats.org/officeDocument/2006/customXml" ds:itemID="{32485FD3-5917-4685-BC32-AEB6CBDF9259}"/>
</file>

<file path=customXml/itemProps3.xml><?xml version="1.0" encoding="utf-8"?>
<ds:datastoreItem xmlns:ds="http://schemas.openxmlformats.org/officeDocument/2006/customXml" ds:itemID="{7DF1AB7E-711F-4746-B19C-B1E5D9EFC722}"/>
</file>

<file path=customXml/itemProps4.xml><?xml version="1.0" encoding="utf-8"?>
<ds:datastoreItem xmlns:ds="http://schemas.openxmlformats.org/officeDocument/2006/customXml" ds:itemID="{3C70C43B-63BB-4843-B444-742FA5EB9D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PINGIOTORE Dalila (Acoss)</dc:creator>
  <cp:keywords/>
  <dc:description/>
  <cp:lastModifiedBy>BOUCEBIA Linda (Acoss)</cp:lastModifiedBy>
  <cp:revision/>
  <dcterms:created xsi:type="dcterms:W3CDTF">2024-07-31T11:49:41Z</dcterms:created>
  <dcterms:modified xsi:type="dcterms:W3CDTF">2024-11-19T15:09:59Z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0x010100F9618E51892316408EBEDE7ADCCC48CC</vt:lpwstr>
  </property>
  <property fmtid="{D5CDD505-2E9C-101B-9397-08002B2CF9AE}" pid="3" name="Order">
    <vt:r8>48300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y fmtid="{D5CDD505-2E9C-101B-9397-08002B2CF9AE}" pid="13" name="_dlc_DocIdItemGuid">
    <vt:lpwstr>dc49ba58-c1eb-49a4-a444-b0ac82c445fe</vt:lpwstr>
  </property>
</Properties>
</file>