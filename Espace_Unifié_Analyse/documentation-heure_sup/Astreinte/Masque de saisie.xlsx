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https://recouv.sharepoint.com/sites/DirectionGAP-OutilGestionAstreintesHS-HC/Documents partages/Gestion de projets SIRH/HS - Astreintes/ASTREINTES/"/>
    </mc:Choice>
  </mc:AlternateContent>
  <xr:revisionPtr revIDLastSave="179" documentId="11_3ADD238C9A973829CA8EC9D08952B4553DED40EB" xr6:coauthVersionLast="47" xr6:coauthVersionMax="47" xr10:uidLastSave="{0CC68121-D148-4B82-AD79-768E0EF60147}"/>
  <bookViews>
    <workbookView xWindow="-120" yWindow="-120" windowWidth="29040" windowHeight="15720" activeTab="1" xr2:uid="{00000000-000D-0000-FFFF-FFFF00000000}"/>
  </bookViews>
  <sheets>
    <sheet name="Accueil" sheetId="1" r:id="rId1"/>
    <sheet name="Demande" sheetId="2" r:id="rId2"/>
  </sheets>
  <externalReferences>
    <externalReference r:id="rId3"/>
    <externalReference r:id="rId4"/>
  </externalReferences>
  <definedNames>
    <definedName name="Assistance">[1]Listes!$A$6</definedName>
    <definedName name="Férié">[1]Listes!$A$5</definedName>
    <definedName name="Fériéexceptionnel">[1]Listes!#REF!</definedName>
    <definedName name="Joursemaine">[1]Listes!$A$3</definedName>
    <definedName name="Nbpts11">[1]Listes!$B$5</definedName>
    <definedName name="Nbpts15">[1]Listes!#REF!</definedName>
    <definedName name="Nbpts4">[1]Listes!$B$6</definedName>
    <definedName name="Nbpts6">[1]Listes!$B$3</definedName>
    <definedName name="Nbpts9">[1]Listes!$B$4</definedName>
    <definedName name="Samedioudimanche">[1]Listes!$A$4</definedName>
    <definedName name="Type_astreintes">[1]Listes!$A$3:$A$8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2" l="1"/>
  <c r="F92" i="2" s="1"/>
  <c r="G92" i="2" s="1"/>
  <c r="D93" i="2"/>
  <c r="F93" i="2" s="1"/>
  <c r="G93" i="2" s="1"/>
  <c r="D94" i="2"/>
  <c r="F94" i="2" s="1"/>
  <c r="G94" i="2" s="1"/>
  <c r="D95" i="2"/>
  <c r="F95" i="2" s="1"/>
  <c r="G95" i="2" s="1"/>
  <c r="D96" i="2"/>
  <c r="F96" i="2" s="1"/>
  <c r="G96" i="2" s="1"/>
</calcChain>
</file>

<file path=xl/sharedStrings.xml><?xml version="1.0" encoding="utf-8"?>
<sst xmlns="http://schemas.openxmlformats.org/spreadsheetml/2006/main" count="50" uniqueCount="41">
  <si>
    <t xml:space="preserve">Mettre sur cet outil un accueil avec une partie astreinte et une autre partie heures supp. </t>
  </si>
  <si>
    <t xml:space="preserve">Nom de l'outil </t>
  </si>
  <si>
    <t>Intitulé des écrans</t>
  </si>
  <si>
    <t>HS</t>
  </si>
  <si>
    <t>Garde le même nom</t>
  </si>
  <si>
    <t>Astreintes</t>
  </si>
  <si>
    <t>Demande et réalisation d'astreintes ou d'heures supplémentaires</t>
  </si>
  <si>
    <t>Demande d'approbation et de réalisation d'astreintes (planifiée ou évènementielle)</t>
  </si>
  <si>
    <t xml:space="preserve">Partie demande d'astreinte </t>
  </si>
  <si>
    <t>On garde les différents tableaux de bords comme pour les HS</t>
  </si>
  <si>
    <t xml:space="preserve">Un seul menu pour faire la demande du manager </t>
  </si>
  <si>
    <t>Le manager doit saisir les dates et le type d'astreinte</t>
  </si>
  <si>
    <t>Après la validation du collaborateur, le manager valide la réalisation ou la modification de l'astreinte</t>
  </si>
  <si>
    <t xml:space="preserve">Le manager doit pouvoir valider la réalisation de l'astreinte en cas d'absence de longue durée non prévue du collaborateur </t>
  </si>
  <si>
    <t xml:space="preserve">A terme échu, le collaborateur valide ou modifie si cela n'a pas été fait par le manager la réalisation de l'astreinte et déclare si interventions ou non </t>
  </si>
  <si>
    <t>Type d'astreintes</t>
  </si>
  <si>
    <t>Nombre de points</t>
  </si>
  <si>
    <t>Jour semaine</t>
  </si>
  <si>
    <t>Samedi ou dimanche</t>
  </si>
  <si>
    <t xml:space="preserve">Férié </t>
  </si>
  <si>
    <t>Calul du montant de l'astreinte selon les protocoles en vigueur :</t>
  </si>
  <si>
    <t xml:space="preserve">exemple : </t>
  </si>
  <si>
    <t>S31-2025 Du lundi 28/07/25 au lundi 04/08/25 matin</t>
  </si>
  <si>
    <t>S29-2025 Du lundi 14/07/25 au lundi 21/07/25 matin</t>
  </si>
  <si>
    <t>N° agent</t>
  </si>
  <si>
    <t>Nom Prénom Agent</t>
  </si>
  <si>
    <t>Type d'astreinte</t>
  </si>
  <si>
    <t>Valeur Unitaire Astreinte (en points)</t>
  </si>
  <si>
    <t>Nombre de jour(s) pour le mois</t>
  </si>
  <si>
    <t>Total points</t>
  </si>
  <si>
    <t xml:space="preserve">Montant brut </t>
  </si>
  <si>
    <t>Période de réalisation de l'astreinte</t>
  </si>
  <si>
    <t>XXXX</t>
  </si>
  <si>
    <t xml:space="preserve">ajouter le nom du portefeuille GAP de rattachement </t>
  </si>
  <si>
    <t xml:space="preserve">Prévoir les effets de messagerie pour relances collaborateurs et managers en cas de non validation </t>
  </si>
  <si>
    <t>Contrôle et Validation GAP : dates d'absence, dates d'astreinte, type demandé et pour les heures déclarées d'intervention pour paiement via l'outil des gestion des HS</t>
  </si>
  <si>
    <t>Quid décision de la Cour de cassation pour paiement des interventions et HS</t>
  </si>
  <si>
    <t>Prévoir la possibilité des changements de la valeur du point avec et sans effet rétroactif</t>
  </si>
  <si>
    <t>Ajouter champs "Motif / Objet de l'astreinte "</t>
  </si>
  <si>
    <t>Commentaire libre</t>
  </si>
  <si>
    <r>
      <t xml:space="preserve">Remontée auto à la GAP des dates validées du 1er jour 19h00 au dernier jour 7h00  sur </t>
    </r>
    <r>
      <rPr>
        <b/>
        <sz val="11"/>
        <color rgb="FF00B0F0"/>
        <rFont val="Aptos Narrow"/>
        <family val="2"/>
        <scheme val="minor"/>
      </rPr>
      <t>un écran dédié GAP par portefeuille</t>
    </r>
    <r>
      <rPr>
        <sz val="11"/>
        <color theme="1"/>
        <rFont val="Aptos Narrow"/>
        <family val="2"/>
        <scheme val="minor"/>
      </rPr>
      <t xml:space="preserve"> et comme pour la mobilité durable afficher les absences  du WDA sauf  813 (formation) +151 (récup D/C)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</si>
</sst>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10"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0"/>
      <name val="Aptos Narrow"/>
      <family val="2"/>
      <scheme val="minor"/>
    </font>
    <font>
      <sz val="11"/>
      <color rgb="FF002060"/>
      <name val="Aptos Narrow"/>
      <family val="2"/>
      <scheme val="minor"/>
    </font>
    <font>
      <sz val="11"/>
      <color theme="3"/>
      <name val="Aptos Narrow"/>
      <family val="2"/>
      <scheme val="minor"/>
    </font>
    <font>
      <sz val="9"/>
      <color theme="1"/>
      <name val="Aptos Narrow"/>
      <family val="2"/>
      <scheme val="minor"/>
    </font>
    <font>
      <b/>
      <sz val="9"/>
      <color theme="1"/>
      <name val="Aptos Narrow"/>
      <family val="2"/>
      <scheme val="minor"/>
    </font>
    <font>
      <b/>
      <sz val="10"/>
      <color theme="1"/>
      <name val="Aptos Narrow"/>
      <family val="2"/>
      <scheme val="minor"/>
    </font>
    <font>
      <b/>
      <sz val="11"/>
      <color rgb="FF00B0F0"/>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4" fillId="0" borderId="0" xfId="0" applyFont="1"/>
    <xf numFmtId="0" fontId="5"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1" fontId="6" fillId="0" borderId="1" xfId="0" applyNumberFormat="1" applyFont="1" applyBorder="1" applyAlignment="1">
      <alignment horizontal="center" vertical="center"/>
    </xf>
    <xf numFmtId="1" fontId="6"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0" xfId="0" applyBorder="1" applyAlignment="1">
      <alignment vertical="center"/>
    </xf>
    <xf numFmtId="164" fontId="6" fillId="2" borderId="2"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6" fillId="0" borderId="4" xfId="0" applyFont="1" applyBorder="1" applyAlignment="1">
      <alignment horizontal="center" vertical="center" wrapText="1"/>
    </xf>
    <xf numFmtId="1" fontId="6" fillId="0" borderId="4" xfId="0" applyNumberFormat="1" applyFont="1" applyBorder="1" applyAlignment="1">
      <alignment horizontal="center" vertical="center"/>
    </xf>
    <xf numFmtId="1" fontId="6" fillId="2" borderId="4"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2" fillId="0" borderId="0" xfId="0" applyFont="1" applyBorder="1" applyAlignment="1">
      <alignment vertical="center" wrapText="1"/>
    </xf>
    <xf numFmtId="0" fontId="0" fillId="0" borderId="0" xfId="0" applyFill="1" applyBorder="1" applyAlignment="1">
      <alignment vertical="center"/>
    </xf>
    <xf numFmtId="0" fontId="8" fillId="2" borderId="2" xfId="0" applyFont="1" applyFill="1" applyBorder="1" applyAlignment="1">
      <alignment horizontal="center" vertical="center" wrapText="1"/>
    </xf>
    <xf numFmtId="20" fontId="0" fillId="0" borderId="0" xfId="0" applyNumberFormat="1"/>
    <xf numFmtId="0" fontId="1" fillId="0" borderId="0" xfId="0" applyFont="1"/>
    <xf numFmtId="0" fontId="9" fillId="0" borderId="0" xfId="0" applyFont="1" applyAlignment="1">
      <alignment horizontal="left"/>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cellXfs>
  <cellStyles count="1">
    <cellStyle name="Normal" xfId="0" builtinId="0"/>
  </cellStyles>
  <dxfs count="1">
    <dxf>
      <font>
        <color auto="1"/>
      </font>
      <fill>
        <patternFill patternType="none">
          <bgColor auto="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495300</xdr:colOff>
      <xdr:row>5</xdr:row>
      <xdr:rowOff>95251</xdr:rowOff>
    </xdr:from>
    <xdr:to>
      <xdr:col>2</xdr:col>
      <xdr:colOff>4958587</xdr:colOff>
      <xdr:row>38</xdr:row>
      <xdr:rowOff>19051</xdr:rowOff>
    </xdr:to>
    <xdr:pic>
      <xdr:nvPicPr>
        <xdr:cNvPr id="2" name="Image 1">
          <a:extLst>
            <a:ext uri="{FF2B5EF4-FFF2-40B4-BE49-F238E27FC236}">
              <a16:creationId xmlns:a16="http://schemas.microsoft.com/office/drawing/2014/main" id="{CC7D7AB0-6B4B-0B4A-F0C0-0C9710E5420B}"/>
            </a:ext>
          </a:extLst>
        </xdr:cNvPr>
        <xdr:cNvPicPr>
          <a:picLocks noChangeAspect="1"/>
        </xdr:cNvPicPr>
      </xdr:nvPicPr>
      <xdr:blipFill>
        <a:blip xmlns:r="http://schemas.openxmlformats.org/officeDocument/2006/relationships" r:embed="rId1"/>
        <a:stretch>
          <a:fillRect/>
        </a:stretch>
      </xdr:blipFill>
      <xdr:spPr>
        <a:xfrm>
          <a:off x="495300" y="1047751"/>
          <a:ext cx="10340212" cy="621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5</xdr:row>
      <xdr:rowOff>142875</xdr:rowOff>
    </xdr:from>
    <xdr:to>
      <xdr:col>4</xdr:col>
      <xdr:colOff>457669</xdr:colOff>
      <xdr:row>14</xdr:row>
      <xdr:rowOff>162167</xdr:rowOff>
    </xdr:to>
    <xdr:pic>
      <xdr:nvPicPr>
        <xdr:cNvPr id="2" name="Image 1">
          <a:extLst>
            <a:ext uri="{FF2B5EF4-FFF2-40B4-BE49-F238E27FC236}">
              <a16:creationId xmlns:a16="http://schemas.microsoft.com/office/drawing/2014/main" id="{AF4BBE74-C952-F689-F96A-6D0BD697112B}"/>
            </a:ext>
          </a:extLst>
        </xdr:cNvPr>
        <xdr:cNvPicPr>
          <a:picLocks noChangeAspect="1"/>
        </xdr:cNvPicPr>
      </xdr:nvPicPr>
      <xdr:blipFill>
        <a:blip xmlns:r="http://schemas.openxmlformats.org/officeDocument/2006/relationships" r:embed="rId1"/>
        <a:stretch>
          <a:fillRect/>
        </a:stretch>
      </xdr:blipFill>
      <xdr:spPr>
        <a:xfrm>
          <a:off x="142875" y="1095375"/>
          <a:ext cx="3362794" cy="1733792"/>
        </a:xfrm>
        <a:prstGeom prst="rect">
          <a:avLst/>
        </a:prstGeom>
      </xdr:spPr>
    </xdr:pic>
    <xdr:clientData/>
  </xdr:twoCellAnchor>
  <xdr:twoCellAnchor>
    <xdr:from>
      <xdr:col>0</xdr:col>
      <xdr:colOff>295275</xdr:colOff>
      <xdr:row>16</xdr:row>
      <xdr:rowOff>57150</xdr:rowOff>
    </xdr:from>
    <xdr:to>
      <xdr:col>13</xdr:col>
      <xdr:colOff>414327</xdr:colOff>
      <xdr:row>28</xdr:row>
      <xdr:rowOff>19245</xdr:rowOff>
    </xdr:to>
    <xdr:grpSp>
      <xdr:nvGrpSpPr>
        <xdr:cNvPr id="16" name="Groupe 15">
          <a:extLst>
            <a:ext uri="{FF2B5EF4-FFF2-40B4-BE49-F238E27FC236}">
              <a16:creationId xmlns:a16="http://schemas.microsoft.com/office/drawing/2014/main" id="{511E5D47-F4F3-F284-ECF3-99AB00CED7D8}"/>
            </a:ext>
          </a:extLst>
        </xdr:cNvPr>
        <xdr:cNvGrpSpPr/>
      </xdr:nvGrpSpPr>
      <xdr:grpSpPr>
        <a:xfrm>
          <a:off x="295275" y="3105150"/>
          <a:ext cx="10872777" cy="2248095"/>
          <a:chOff x="295275" y="3105150"/>
          <a:chExt cx="10872777" cy="2248095"/>
        </a:xfrm>
      </xdr:grpSpPr>
      <xdr:pic>
        <xdr:nvPicPr>
          <xdr:cNvPr id="14" name="Image 2">
            <a:extLst>
              <a:ext uri="{FF2B5EF4-FFF2-40B4-BE49-F238E27FC236}">
                <a16:creationId xmlns:a16="http://schemas.microsoft.com/office/drawing/2014/main" id="{6423F3E2-BC8F-5033-0DFD-21A768D2AD7A}"/>
              </a:ext>
            </a:extLst>
          </xdr:cNvPr>
          <xdr:cNvPicPr>
            <a:picLocks noChangeAspect="1"/>
          </xdr:cNvPicPr>
        </xdr:nvPicPr>
        <xdr:blipFill>
          <a:blip xmlns:r="http://schemas.openxmlformats.org/officeDocument/2006/relationships" r:embed="rId2"/>
          <a:stretch>
            <a:fillRect/>
          </a:stretch>
        </xdr:blipFill>
        <xdr:spPr>
          <a:xfrm>
            <a:off x="295275" y="3105150"/>
            <a:ext cx="10872777" cy="2248095"/>
          </a:xfrm>
          <a:prstGeom prst="rect">
            <a:avLst/>
          </a:prstGeom>
        </xdr:spPr>
      </xdr:pic>
      <xdr:sp macro="" textlink="">
        <xdr:nvSpPr>
          <xdr:cNvPr id="9" name="Rectangle 3">
            <a:extLst>
              <a:ext uri="{FF2B5EF4-FFF2-40B4-BE49-F238E27FC236}">
                <a16:creationId xmlns:a16="http://schemas.microsoft.com/office/drawing/2014/main" id="{0994ED84-1E4C-6427-C552-88697991F815}"/>
              </a:ext>
            </a:extLst>
          </xdr:cNvPr>
          <xdr:cNvSpPr/>
        </xdr:nvSpPr>
        <xdr:spPr>
          <a:xfrm>
            <a:off x="4478654" y="4970145"/>
            <a:ext cx="1522096" cy="2667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fr-FR" sz="1100"/>
              <a:t>astreintes</a:t>
            </a:r>
          </a:p>
        </xdr:txBody>
      </xdr:sp>
    </xdr:grpSp>
    <xdr:clientData/>
  </xdr:twoCellAnchor>
  <xdr:twoCellAnchor editAs="oneCell">
    <xdr:from>
      <xdr:col>0</xdr:col>
      <xdr:colOff>238125</xdr:colOff>
      <xdr:row>36</xdr:row>
      <xdr:rowOff>104775</xdr:rowOff>
    </xdr:from>
    <xdr:to>
      <xdr:col>16</xdr:col>
      <xdr:colOff>477327</xdr:colOff>
      <xdr:row>70</xdr:row>
      <xdr:rowOff>32940</xdr:rowOff>
    </xdr:to>
    <xdr:pic>
      <xdr:nvPicPr>
        <xdr:cNvPr id="11" name="Image 5">
          <a:extLst>
            <a:ext uri="{FF2B5EF4-FFF2-40B4-BE49-F238E27FC236}">
              <a16:creationId xmlns:a16="http://schemas.microsoft.com/office/drawing/2014/main" id="{D9B74801-A5AA-3EC2-EA15-DF9870A1168F}"/>
            </a:ext>
          </a:extLst>
        </xdr:cNvPr>
        <xdr:cNvPicPr>
          <a:picLocks noChangeAspect="1"/>
        </xdr:cNvPicPr>
      </xdr:nvPicPr>
      <xdr:blipFill>
        <a:blip xmlns:r="http://schemas.openxmlformats.org/officeDocument/2006/relationships" r:embed="rId3"/>
        <a:stretch>
          <a:fillRect/>
        </a:stretch>
      </xdr:blipFill>
      <xdr:spPr>
        <a:xfrm>
          <a:off x="238125" y="5895975"/>
          <a:ext cx="12429297" cy="6399450"/>
        </a:xfrm>
        <a:prstGeom prst="rect">
          <a:avLst/>
        </a:prstGeom>
      </xdr:spPr>
    </xdr:pic>
    <xdr:clientData/>
  </xdr:twoCellAnchor>
  <xdr:twoCellAnchor editAs="oneCell">
    <xdr:from>
      <xdr:col>1</xdr:col>
      <xdr:colOff>85725</xdr:colOff>
      <xdr:row>90</xdr:row>
      <xdr:rowOff>0</xdr:rowOff>
    </xdr:from>
    <xdr:to>
      <xdr:col>2</xdr:col>
      <xdr:colOff>406241</xdr:colOff>
      <xdr:row>90</xdr:row>
      <xdr:rowOff>2662</xdr:rowOff>
    </xdr:to>
    <xdr:pic>
      <xdr:nvPicPr>
        <xdr:cNvPr id="12" name="Image 6" descr="Logo_URSSAF_2012_RVB">
          <a:extLst>
            <a:ext uri="{FF2B5EF4-FFF2-40B4-BE49-F238E27FC236}">
              <a16:creationId xmlns:a16="http://schemas.microsoft.com/office/drawing/2014/main" id="{D419828E-064C-4BD1-8510-DE08269C02D6}"/>
            </a:ext>
          </a:extLst>
        </xdr:cNvPr>
        <xdr:cNvPicPr/>
      </xdr:nvPicPr>
      <xdr:blipFill>
        <a:blip xmlns:r="http://schemas.openxmlformats.org/officeDocument/2006/relationships" r:embed="rId4" cstate="print"/>
        <a:srcRect/>
        <a:stretch>
          <a:fillRect/>
        </a:stretch>
      </xdr:blipFill>
      <xdr:spPr bwMode="auto">
        <a:xfrm>
          <a:off x="792480" y="1600200"/>
          <a:ext cx="1934051" cy="2662"/>
        </a:xfrm>
        <a:prstGeom prst="rect">
          <a:avLst/>
        </a:prstGeom>
        <a:noFill/>
        <a:ln w="9525">
          <a:noFill/>
          <a:miter lim="800000"/>
          <a:headEnd/>
          <a:tailEnd/>
        </a:ln>
      </xdr:spPr>
    </xdr:pic>
    <xdr:clientData/>
  </xdr:twoCellAnchor>
  <xdr:twoCellAnchor>
    <xdr:from>
      <xdr:col>2</xdr:col>
      <xdr:colOff>28575</xdr:colOff>
      <xdr:row>14</xdr:row>
      <xdr:rowOff>104775</xdr:rowOff>
    </xdr:from>
    <xdr:to>
      <xdr:col>6</xdr:col>
      <xdr:colOff>752475</xdr:colOff>
      <xdr:row>24</xdr:row>
      <xdr:rowOff>47625</xdr:rowOff>
    </xdr:to>
    <xdr:cxnSp macro="">
      <xdr:nvCxnSpPr>
        <xdr:cNvPr id="15" name="Connecteur droit avec flèche 10">
          <a:extLst>
            <a:ext uri="{FF2B5EF4-FFF2-40B4-BE49-F238E27FC236}">
              <a16:creationId xmlns:a16="http://schemas.microsoft.com/office/drawing/2014/main" id="{DB013E7E-CEDD-517E-C044-52C6823ACA14}"/>
            </a:ext>
          </a:extLst>
        </xdr:cNvPr>
        <xdr:cNvCxnSpPr/>
      </xdr:nvCxnSpPr>
      <xdr:spPr>
        <a:xfrm flipV="1">
          <a:off x="2476500" y="2638425"/>
          <a:ext cx="3886200" cy="17526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PAIE_DSI_ACOSS_2018\ORDONNATEUR\13%20-%20PORTEFEUILLES%20MUTUALISES\Portefeuille%20ORCHIDEE\2025\Astreintes\Orchid&#233;e%20-%202025-%20Astrein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PAIE_DSI_ACOSS_2018\ORDONNATEUR\13%20-%20PORTEFEUILLES%20MUTUALISES\Portefeuille%20ORCHIDEE\2025\Astreintes\Orchid&#233;e%20-%202025-%20Astreintes%20v&#233;rif%20J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s"/>
    </sheetNames>
    <sheetDataSet>
      <sheetData sheetId="0">
        <row r="3">
          <cell r="A3" t="str">
            <v>Jour semaine</v>
          </cell>
          <cell r="B3">
            <v>7</v>
          </cell>
        </row>
        <row r="4">
          <cell r="A4" t="str">
            <v>Samedi ou dimanche</v>
          </cell>
          <cell r="B4">
            <v>17</v>
          </cell>
        </row>
        <row r="5">
          <cell r="A5" t="str">
            <v xml:space="preserve">Férié </v>
          </cell>
          <cell r="B5">
            <v>20</v>
          </cell>
        </row>
        <row r="6">
          <cell r="A6" t="str">
            <v>Assistance</v>
          </cell>
          <cell r="B6">
            <v>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s"/>
    </sheetNames>
    <sheetDataSet>
      <sheetData sheetId="0">
        <row r="4">
          <cell r="E4">
            <v>7.6093900000000003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C4" sqref="C4"/>
    </sheetView>
  </sheetViews>
  <sheetFormatPr baseColWidth="10" defaultColWidth="9.140625" defaultRowHeight="15" x14ac:dyDescent="0.25"/>
  <cols>
    <col min="1" max="1" width="79" bestFit="1" customWidth="1"/>
    <col min="3" max="3" width="75.28515625" bestFit="1" customWidth="1"/>
  </cols>
  <sheetData>
    <row r="1" spans="1:3" x14ac:dyDescent="0.25">
      <c r="A1" t="s">
        <v>0</v>
      </c>
    </row>
    <row r="2" spans="1:3" x14ac:dyDescent="0.25">
      <c r="A2" t="s">
        <v>1</v>
      </c>
      <c r="B2" t="s">
        <v>6</v>
      </c>
    </row>
    <row r="3" spans="1:3" x14ac:dyDescent="0.25">
      <c r="A3" t="s">
        <v>2</v>
      </c>
      <c r="B3" t="s">
        <v>3</v>
      </c>
      <c r="C3" t="s">
        <v>4</v>
      </c>
    </row>
    <row r="4" spans="1:3" x14ac:dyDescent="0.25">
      <c r="A4" t="s">
        <v>2</v>
      </c>
      <c r="B4" t="s">
        <v>5</v>
      </c>
      <c r="C4" t="s">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90A7-82B3-43C3-89B1-7821B402A31D}">
  <dimension ref="A1:U96"/>
  <sheetViews>
    <sheetView tabSelected="1" topLeftCell="A68" workbookViewId="0">
      <selection activeCell="B81" sqref="B81"/>
    </sheetView>
  </sheetViews>
  <sheetFormatPr baseColWidth="10" defaultRowHeight="15" x14ac:dyDescent="0.25"/>
  <cols>
    <col min="2" max="2" width="24.140625" customWidth="1"/>
  </cols>
  <sheetData>
    <row r="1" spans="1:13" x14ac:dyDescent="0.25">
      <c r="A1" t="s">
        <v>8</v>
      </c>
    </row>
    <row r="3" spans="1:13" x14ac:dyDescent="0.25">
      <c r="A3" t="s">
        <v>10</v>
      </c>
    </row>
    <row r="4" spans="1:13" x14ac:dyDescent="0.25">
      <c r="A4" t="s">
        <v>9</v>
      </c>
    </row>
    <row r="15" spans="1:13" x14ac:dyDescent="0.25">
      <c r="H15" s="25" t="s">
        <v>33</v>
      </c>
      <c r="I15" s="25"/>
      <c r="J15" s="25"/>
      <c r="K15" s="25"/>
      <c r="L15" s="25"/>
      <c r="M15" s="25"/>
    </row>
    <row r="30" spans="2:5" x14ac:dyDescent="0.25">
      <c r="B30" t="s">
        <v>38</v>
      </c>
      <c r="E30" t="s">
        <v>39</v>
      </c>
    </row>
    <row r="34" spans="2:2" x14ac:dyDescent="0.25">
      <c r="B34" t="s">
        <v>11</v>
      </c>
    </row>
    <row r="75" spans="2:21" x14ac:dyDescent="0.25">
      <c r="B75" t="s">
        <v>14</v>
      </c>
    </row>
    <row r="76" spans="2:21" x14ac:dyDescent="0.25">
      <c r="B76" t="s">
        <v>12</v>
      </c>
    </row>
    <row r="77" spans="2:21" x14ac:dyDescent="0.25">
      <c r="B77" t="s">
        <v>13</v>
      </c>
    </row>
    <row r="78" spans="2:21" x14ac:dyDescent="0.25">
      <c r="B78" t="s">
        <v>34</v>
      </c>
    </row>
    <row r="80" spans="2:21" x14ac:dyDescent="0.25">
      <c r="B80" t="s">
        <v>40</v>
      </c>
      <c r="U80" s="24" t="s">
        <v>36</v>
      </c>
    </row>
    <row r="81" spans="1:18" x14ac:dyDescent="0.25">
      <c r="B81" t="s">
        <v>35</v>
      </c>
    </row>
    <row r="82" spans="1:18" x14ac:dyDescent="0.25">
      <c r="B82" t="s">
        <v>20</v>
      </c>
    </row>
    <row r="83" spans="1:18" x14ac:dyDescent="0.25">
      <c r="B83" t="s">
        <v>37</v>
      </c>
    </row>
    <row r="85" spans="1:18" ht="27" x14ac:dyDescent="0.25">
      <c r="B85" s="3" t="s">
        <v>15</v>
      </c>
      <c r="C85" s="4" t="s">
        <v>16</v>
      </c>
      <c r="Q85" s="23"/>
    </row>
    <row r="86" spans="1:18" x14ac:dyDescent="0.25">
      <c r="B86" s="1" t="s">
        <v>17</v>
      </c>
      <c r="C86" s="2">
        <v>7</v>
      </c>
      <c r="R86" s="23"/>
    </row>
    <row r="87" spans="1:18" x14ac:dyDescent="0.25">
      <c r="B87" s="1" t="s">
        <v>18</v>
      </c>
      <c r="C87" s="2">
        <v>17</v>
      </c>
      <c r="R87" s="23"/>
    </row>
    <row r="88" spans="1:18" x14ac:dyDescent="0.25">
      <c r="B88" s="1" t="s">
        <v>19</v>
      </c>
      <c r="C88" s="2">
        <v>20</v>
      </c>
      <c r="Q88" s="23"/>
    </row>
    <row r="89" spans="1:18" x14ac:dyDescent="0.25">
      <c r="B89" s="1"/>
      <c r="C89" s="2"/>
      <c r="Q89" s="23"/>
    </row>
    <row r="90" spans="1:18" x14ac:dyDescent="0.25">
      <c r="B90" s="1" t="s">
        <v>21</v>
      </c>
      <c r="C90" s="2"/>
      <c r="Q90" s="23"/>
    </row>
    <row r="91" spans="1:18" ht="60" customHeight="1" x14ac:dyDescent="0.25">
      <c r="A91" s="17" t="s">
        <v>24</v>
      </c>
      <c r="B91" s="17" t="s">
        <v>25</v>
      </c>
      <c r="C91" s="17" t="s">
        <v>26</v>
      </c>
      <c r="D91" s="18" t="s">
        <v>27</v>
      </c>
      <c r="E91" s="18" t="s">
        <v>28</v>
      </c>
      <c r="F91" s="19" t="s">
        <v>29</v>
      </c>
      <c r="G91" s="22" t="s">
        <v>30</v>
      </c>
      <c r="H91" s="26" t="s">
        <v>31</v>
      </c>
      <c r="I91" s="26"/>
      <c r="J91" s="26"/>
      <c r="K91" s="26"/>
      <c r="L91" s="26"/>
      <c r="M91" s="20"/>
    </row>
    <row r="92" spans="1:18" ht="30" x14ac:dyDescent="0.25">
      <c r="A92" s="9" t="s">
        <v>32</v>
      </c>
      <c r="B92" s="9"/>
      <c r="C92" s="12" t="s">
        <v>17</v>
      </c>
      <c r="D92" s="13">
        <f>IF(C92=Joursemaine,Nbpts6,IF(C92=Samedioudimanche,Nbpts9,IF(C92=Férié,Nbpts11,IF(C92=Fériéexceptionnel,Nbpts15,IF(C92=Assistance,Nbpts4," ")))))</f>
        <v>7</v>
      </c>
      <c r="E92" s="14">
        <v>5</v>
      </c>
      <c r="F92" s="15">
        <f>D92*E92</f>
        <v>35</v>
      </c>
      <c r="G92" s="16">
        <f>F92*[2]Listes!$E$4</f>
        <v>266.32865000000004</v>
      </c>
      <c r="H92" s="27" t="s">
        <v>22</v>
      </c>
      <c r="I92" s="27"/>
      <c r="J92" s="27"/>
      <c r="K92" s="27"/>
      <c r="L92" s="27"/>
      <c r="M92" s="10"/>
    </row>
    <row r="93" spans="1:18" ht="30" x14ac:dyDescent="0.25">
      <c r="A93" s="9"/>
      <c r="B93" s="9"/>
      <c r="C93" s="5" t="s">
        <v>18</v>
      </c>
      <c r="D93" s="6">
        <f>IF(C93=Joursemaine,Nbpts6,IF(C93=Samedioudimanche,Nbpts9,IF(C93=Férié,Nbpts11,IF(C93=Fériéexceptionnel,Nbpts15,IF(C93=Assistance,Nbpts4," ")))))</f>
        <v>17</v>
      </c>
      <c r="E93" s="7">
        <v>2</v>
      </c>
      <c r="F93" s="8">
        <f>D93*E93</f>
        <v>34</v>
      </c>
      <c r="G93" s="11">
        <f>F93*[2]Listes!$E$4</f>
        <v>258.71926000000002</v>
      </c>
      <c r="H93" s="27" t="s">
        <v>22</v>
      </c>
      <c r="I93" s="27"/>
      <c r="J93" s="27"/>
      <c r="K93" s="27"/>
      <c r="L93" s="27"/>
      <c r="M93" s="21"/>
    </row>
    <row r="94" spans="1:18" ht="30" x14ac:dyDescent="0.25">
      <c r="A94" s="9"/>
      <c r="B94" s="9"/>
      <c r="C94" s="5" t="s">
        <v>17</v>
      </c>
      <c r="D94" s="6">
        <f>IF(C94=Joursemaine,Nbpts6,IF(C94=Samedioudimanche,Nbpts9,IF(C94=Férié,Nbpts11,IF(C94=Fériéexceptionnel,Nbpts15,IF(C94=Assistance,Nbpts4," ")))))</f>
        <v>7</v>
      </c>
      <c r="E94" s="7">
        <v>4</v>
      </c>
      <c r="F94" s="8">
        <f>D94*E94</f>
        <v>28</v>
      </c>
      <c r="G94" s="11">
        <f>F94*[2]Listes!$E$4</f>
        <v>213.06292000000002</v>
      </c>
      <c r="H94" s="28" t="s">
        <v>23</v>
      </c>
      <c r="I94" s="28"/>
      <c r="J94" s="28"/>
      <c r="K94" s="28"/>
      <c r="L94" s="28"/>
      <c r="M94" s="21"/>
    </row>
    <row r="95" spans="1:18" ht="30" x14ac:dyDescent="0.25">
      <c r="A95" s="9"/>
      <c r="B95" s="9"/>
      <c r="C95" s="5" t="s">
        <v>18</v>
      </c>
      <c r="D95" s="6">
        <f>IF(C95=Joursemaine,Nbpts6,IF(C95=Samedioudimanche,Nbpts9,IF(C95=Férié,Nbpts11,IF(C95=Fériéexceptionnel,Nbpts15,IF(C95=Assistance,Nbpts4," ")))))</f>
        <v>17</v>
      </c>
      <c r="E95" s="7">
        <v>2</v>
      </c>
      <c r="F95" s="8">
        <f>D95*E95</f>
        <v>34</v>
      </c>
      <c r="G95" s="11">
        <f>F95*[2]Listes!$E$4</f>
        <v>258.71926000000002</v>
      </c>
      <c r="H95" s="28" t="s">
        <v>23</v>
      </c>
      <c r="I95" s="28"/>
      <c r="J95" s="28"/>
      <c r="K95" s="28"/>
      <c r="L95" s="28"/>
      <c r="M95" s="21"/>
    </row>
    <row r="96" spans="1:18" x14ac:dyDescent="0.25">
      <c r="A96" s="9"/>
      <c r="B96" s="9"/>
      <c r="C96" s="5" t="s">
        <v>19</v>
      </c>
      <c r="D96" s="6">
        <f>IF(C96=Joursemaine,Nbpts6,IF(C96=Samedioudimanche,Nbpts9,IF(C96=Férié,Nbpts11,IF(C96=Fériéexceptionnel,Nbpts15,IF(C96=Assistance,Nbpts4," ")))))</f>
        <v>20</v>
      </c>
      <c r="E96" s="7">
        <v>1</v>
      </c>
      <c r="F96" s="8">
        <f>D96*E96</f>
        <v>20</v>
      </c>
      <c r="G96" s="11">
        <f>F96*[2]Listes!$E$4</f>
        <v>152.18780000000001</v>
      </c>
      <c r="H96" s="27" t="s">
        <v>23</v>
      </c>
      <c r="I96" s="27"/>
      <c r="J96" s="27"/>
      <c r="K96" s="27"/>
      <c r="L96" s="27"/>
      <c r="M96" s="10"/>
    </row>
  </sheetData>
  <mergeCells count="7">
    <mergeCell ref="H95:L95"/>
    <mergeCell ref="H96:L96"/>
    <mergeCell ref="H15:M15"/>
    <mergeCell ref="H91:L91"/>
    <mergeCell ref="H92:L92"/>
    <mergeCell ref="H93:L93"/>
    <mergeCell ref="H94:L94"/>
  </mergeCells>
  <conditionalFormatting sqref="H92:H96">
    <cfRule type="containsText" dxfId="0" priority="1" operator="containsText" text="0">
      <formula>NOT(ISERROR(SEARCH("0",H92)))</formula>
    </cfRule>
  </conditionalFormatting>
  <dataValidations count="1">
    <dataValidation type="list" allowBlank="1" showInputMessage="1" showErrorMessage="1" sqref="C92:C96" xr:uid="{5C21DD47-7EFC-4C01-80DD-50A8907B664C}">
      <formula1>Type_astreintes</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SharedWithUsers xmlns="b568ba3b-0a9e-4304-90bc-2f77e2aeea54">
      <UserInfo>
        <DisplayName/>
        <AccountId xsi:nil="true"/>
        <AccountType/>
      </UserInfo>
    </SharedWithUsers>
    <_dlc_DocId xmlns="b568ba3b-0a9e-4304-90bc-2f77e2aeea54">R6FSRZZME63M-654197140-117693</_dlc_DocId>
    <_dlc_DocIdUrl xmlns="b568ba3b-0a9e-4304-90bc-2f77e2aeea54">
      <Url>https://recouv.sharepoint.com/sites/ACOSSDSISD-DOSDigitalOffresagentsRAD/_layouts/15/DocIdRedir.aspx?ID=R6FSRZZME63M-654197140-117693</Url>
      <Description>R6FSRZZME63M-654197140-117693</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E7D4C06-8CEC-4549-A3A3-519377EC373E}"/>
</file>

<file path=customXml/itemProps2.xml><?xml version="1.0" encoding="utf-8"?>
<ds:datastoreItem xmlns:ds="http://schemas.openxmlformats.org/officeDocument/2006/customXml" ds:itemID="{51792DD9-4600-43EE-8BF7-114B1EA1CFAA}">
  <ds:schemaRefs>
    <ds:schemaRef ds:uri="http://schemas.microsoft.com/sharepoint/v3/contenttype/forms"/>
  </ds:schemaRefs>
</ds:datastoreItem>
</file>

<file path=customXml/itemProps3.xml><?xml version="1.0" encoding="utf-8"?>
<ds:datastoreItem xmlns:ds="http://schemas.openxmlformats.org/officeDocument/2006/customXml" ds:itemID="{3B5F54CB-1CA5-458E-9401-0BB01ECA1DB0}">
  <ds:schemaRefs>
    <ds:schemaRef ds:uri="92b09a70-398d-499b-b598-9a3206c9136e"/>
    <ds:schemaRef ds:uri="http://schemas.microsoft.com/office/2006/documentManagement/types"/>
    <ds:schemaRef ds:uri="http://purl.org/dc/term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7FF30EC5-1A00-44A0-B69A-E2A5F942A0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Accueil</vt:lpstr>
      <vt:lpstr>Demande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GALLIANI Julie (Acoss)</cp:lastModifiedBy>
  <cp:revision/>
  <dcterms:created xsi:type="dcterms:W3CDTF">2025-08-25T08:45:09Z</dcterms:created>
  <dcterms:modified xsi:type="dcterms:W3CDTF">2025-09-25T14:30:44Z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49100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a17ae477-fe5b-4da6-9b53-c079179585f3</vt:lpwstr>
  </property>
</Properties>
</file>